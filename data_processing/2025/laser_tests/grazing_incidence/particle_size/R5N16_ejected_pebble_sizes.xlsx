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-01" sheetId="1" r:id="rId4"/>
    <sheet state="visible" name="image-02" sheetId="2" r:id="rId5"/>
    <sheet state="visible" name="image-03" sheetId="3" r:id="rId6"/>
    <sheet state="visible" name="image-04" sheetId="4" r:id="rId7"/>
    <sheet state="visible" name="image-05" sheetId="5" r:id="rId8"/>
    <sheet state="visible" name="image-06" sheetId="6" r:id="rId9"/>
    <sheet state="visible" name="image-07" sheetId="7" r:id="rId10"/>
    <sheet state="visible" name="image-08" sheetId="8" r:id="rId11"/>
    <sheet state="visible" name="All images" sheetId="9" r:id="rId12"/>
  </sheets>
  <definedNames/>
  <calcPr/>
</workbook>
</file>

<file path=xl/sharedStrings.xml><?xml version="1.0" encoding="utf-8"?>
<sst xmlns="http://schemas.openxmlformats.org/spreadsheetml/2006/main" count="144" uniqueCount="16">
  <si>
    <t>n</t>
  </si>
  <si>
    <t>Area (mm2)</t>
  </si>
  <si>
    <t>Perimeter (mm)</t>
  </si>
  <si>
    <t>Equivalent diameter (um)</t>
  </si>
  <si>
    <t>Circularity</t>
  </si>
  <si>
    <t>t val</t>
  </si>
  <si>
    <t>D mean (um)</t>
  </si>
  <si>
    <t>D std</t>
  </si>
  <si>
    <t>D std err</t>
  </si>
  <si>
    <t>D rel err (%)</t>
  </si>
  <si>
    <t>C mean</t>
  </si>
  <si>
    <t>C std</t>
  </si>
  <si>
    <t>C std err</t>
  </si>
  <si>
    <t>C rel err (%)</t>
  </si>
  <si>
    <t>Pieces counted</t>
  </si>
  <si>
    <t>% stats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</si>
</sst>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3C78D8"/>
      <name val="Arial"/>
    </font>
    <font>
      <b/>
      <sz val="11.0"/>
      <color rgb="FFB45F06"/>
      <name val="Aptos narrow"/>
    </font>
    <font>
      <b/>
      <sz val="11.0"/>
      <color rgb="FF38761D"/>
      <name val="Aptos narrow"/>
    </font>
    <font>
      <b/>
      <sz val="11.0"/>
      <color rgb="FF674EA7"/>
      <name val="Aptos narrow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3C78D8"/>
      <name val="Arial"/>
    </font>
    <font>
      <color rgb="FFB45F06"/>
      <name val="Arial"/>
    </font>
    <font>
      <color rgb="FF38761D"/>
      <name val="Arial"/>
    </font>
    <font>
      <color rgb="FF674EA7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right" readingOrder="0" vertical="bottom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right" readingOrder="0" vertical="bottom"/>
    </xf>
    <xf borderId="0" fillId="0" fontId="13" numFmtId="0" xfId="0" applyAlignment="1" applyFont="1">
      <alignment horizontal="center" readingOrder="0" vertical="bottom"/>
    </xf>
    <xf borderId="0" fillId="0" fontId="8" numFmtId="11" xfId="0" applyAlignment="1" applyFont="1" applyNumberFormat="1">
      <alignment readingOrder="0"/>
    </xf>
    <xf borderId="0" fillId="0" fontId="9" numFmtId="11" xfId="0" applyAlignment="1" applyFont="1" applyNumberFormat="1">
      <alignment horizontal="right" readingOrder="0" vertical="bottom"/>
    </xf>
    <xf borderId="0" fillId="0" fontId="12" numFmtId="11" xfId="0" applyAlignment="1" applyFont="1" applyNumberFormat="1">
      <alignment horizontal="right" readingOrder="0" vertical="bottom"/>
    </xf>
    <xf borderId="0" fillId="0" fontId="13" numFmtId="11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2</xdr:row>
      <xdr:rowOff>190500</xdr:rowOff>
    </xdr:from>
    <xdr:ext cx="11458575" cy="4162425"/>
    <xdr:pic>
      <xdr:nvPicPr>
        <xdr:cNvPr id="2746938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8">
        <v>0.006</v>
      </c>
      <c r="C2" s="8">
        <v>0.291</v>
      </c>
      <c r="D2" s="9">
        <f t="shared" ref="D2:D92" si="1">ROUND(2*SQRT(B2/PI())*1000,2)</f>
        <v>87.4</v>
      </c>
      <c r="E2" s="9">
        <f t="shared" ref="E2:E92" si="2">ROUND(4*PI()*B2/C2/C2,2)</f>
        <v>0.89</v>
      </c>
      <c r="F2" s="10" t="str">
        <f t="shared" ref="F2:F92" si="3">_xlfn.T.INV(1-0.5*0.05,A2-1)</f>
        <v>#NUM!</v>
      </c>
      <c r="G2" s="11">
        <f t="shared" ref="G2:G92" si="4">ROUND(AVERAGE(D$2:D2),2)</f>
        <v>87.4</v>
      </c>
      <c r="H2" s="10" t="str">
        <f t="shared" ref="H2:H92" si="5">ROUND(_xlfn.STDEV.S(D$2:D2),3)</f>
        <v>#DIV/0!</v>
      </c>
      <c r="I2" s="10" t="str">
        <f t="shared" ref="I2:I92" si="6">ROUND(H2*F2/SQRT(A2),2)</f>
        <v>#DIV/0!</v>
      </c>
      <c r="J2" s="12" t="str">
        <f t="shared" ref="J2:J92" si="7">ROUND(100*I2/G2,3)</f>
        <v>#DIV/0!</v>
      </c>
      <c r="K2" s="13">
        <f t="shared" ref="K2:K92" si="8">ROUND(AVERAGE(E$2:E2),3)</f>
        <v>0.89</v>
      </c>
      <c r="L2" s="10" t="str">
        <f t="shared" ref="L2:L92" si="9">ROUND(_xlfn.STDEV.S(E$2:E2),3)</f>
        <v>#DIV/0!</v>
      </c>
      <c r="M2" s="10" t="str">
        <f t="shared" ref="M2:M92" si="10">L2*F2/SQRT(A2)</f>
        <v>#DIV/0!</v>
      </c>
      <c r="N2" s="14" t="str">
        <f t="shared" ref="N2:N92" si="11">ROUND(M2*100/K2,2)</f>
        <v>#DIV/0!</v>
      </c>
      <c r="O2" s="9">
        <f t="shared" ref="O2:O92" si="12">COUNT(A:A)</f>
        <v>91</v>
      </c>
      <c r="P2" s="9">
        <f t="shared" ref="P2:P92" si="13">ROUND(A2*100/O2,2)</f>
        <v>1.1</v>
      </c>
    </row>
    <row r="3">
      <c r="A3" s="8">
        <v>2.0</v>
      </c>
      <c r="B3" s="15">
        <v>1.018E-4</v>
      </c>
      <c r="C3" s="8">
        <v>0.039</v>
      </c>
      <c r="D3" s="9">
        <f t="shared" si="1"/>
        <v>11.38</v>
      </c>
      <c r="E3" s="16">
        <f t="shared" si="2"/>
        <v>0.84</v>
      </c>
      <c r="F3" s="10">
        <f t="shared" si="3"/>
        <v>12.70620474</v>
      </c>
      <c r="G3" s="11">
        <f t="shared" si="4"/>
        <v>49.39</v>
      </c>
      <c r="H3" s="10">
        <f t="shared" si="5"/>
        <v>53.754</v>
      </c>
      <c r="I3" s="10">
        <f t="shared" si="6"/>
        <v>482.96</v>
      </c>
      <c r="J3" s="12">
        <f t="shared" si="7"/>
        <v>977.85</v>
      </c>
      <c r="K3" s="13">
        <f t="shared" si="8"/>
        <v>0.865</v>
      </c>
      <c r="L3" s="10">
        <f t="shared" si="9"/>
        <v>0.035</v>
      </c>
      <c r="M3" s="10">
        <f t="shared" si="10"/>
        <v>0.3144625236</v>
      </c>
      <c r="N3" s="14">
        <f t="shared" si="11"/>
        <v>36.35</v>
      </c>
      <c r="O3" s="9">
        <f t="shared" si="12"/>
        <v>91</v>
      </c>
      <c r="P3" s="9">
        <f t="shared" si="13"/>
        <v>2.2</v>
      </c>
    </row>
    <row r="4">
      <c r="A4" s="8">
        <v>3.0</v>
      </c>
      <c r="B4" s="8">
        <v>0.004</v>
      </c>
      <c r="C4" s="8">
        <v>0.217</v>
      </c>
      <c r="D4" s="9">
        <f t="shared" si="1"/>
        <v>71.36</v>
      </c>
      <c r="E4" s="9">
        <f t="shared" si="2"/>
        <v>1.07</v>
      </c>
      <c r="F4" s="10">
        <f t="shared" si="3"/>
        <v>4.30265273</v>
      </c>
      <c r="G4" s="11">
        <f t="shared" si="4"/>
        <v>56.71</v>
      </c>
      <c r="H4" s="10">
        <f t="shared" si="5"/>
        <v>40.071</v>
      </c>
      <c r="I4" s="10">
        <f t="shared" si="6"/>
        <v>99.54</v>
      </c>
      <c r="J4" s="12">
        <f t="shared" si="7"/>
        <v>175.525</v>
      </c>
      <c r="K4" s="13">
        <f t="shared" si="8"/>
        <v>0.933</v>
      </c>
      <c r="L4" s="10">
        <f t="shared" si="9"/>
        <v>0.121</v>
      </c>
      <c r="M4" s="10">
        <f t="shared" si="10"/>
        <v>0.3005806631</v>
      </c>
      <c r="N4" s="14">
        <f t="shared" si="11"/>
        <v>32.22</v>
      </c>
      <c r="O4" s="9">
        <f t="shared" si="12"/>
        <v>91</v>
      </c>
      <c r="P4" s="9">
        <f t="shared" si="13"/>
        <v>3.3</v>
      </c>
    </row>
    <row r="5">
      <c r="A5" s="8">
        <v>4.0</v>
      </c>
      <c r="B5" s="8">
        <v>0.003</v>
      </c>
      <c r="C5" s="8">
        <v>0.196</v>
      </c>
      <c r="D5" s="9">
        <f t="shared" si="1"/>
        <v>61.8</v>
      </c>
      <c r="E5" s="9">
        <f t="shared" si="2"/>
        <v>0.98</v>
      </c>
      <c r="F5" s="10">
        <f t="shared" si="3"/>
        <v>3.182446305</v>
      </c>
      <c r="G5" s="11">
        <f t="shared" si="4"/>
        <v>57.99</v>
      </c>
      <c r="H5" s="10">
        <f t="shared" si="5"/>
        <v>32.816</v>
      </c>
      <c r="I5" s="10">
        <f t="shared" si="6"/>
        <v>52.22</v>
      </c>
      <c r="J5" s="12">
        <f t="shared" si="7"/>
        <v>90.05</v>
      </c>
      <c r="K5" s="13">
        <f t="shared" si="8"/>
        <v>0.945</v>
      </c>
      <c r="L5" s="10">
        <f t="shared" si="9"/>
        <v>0.101</v>
      </c>
      <c r="M5" s="10">
        <f t="shared" si="10"/>
        <v>0.1607135384</v>
      </c>
      <c r="N5" s="14">
        <f t="shared" si="11"/>
        <v>17.01</v>
      </c>
      <c r="O5" s="9">
        <f t="shared" si="12"/>
        <v>91</v>
      </c>
      <c r="P5" s="9">
        <f t="shared" si="13"/>
        <v>4.4</v>
      </c>
    </row>
    <row r="6">
      <c r="A6" s="8">
        <v>5.0</v>
      </c>
      <c r="B6" s="8">
        <v>0.008</v>
      </c>
      <c r="C6" s="8">
        <v>0.371</v>
      </c>
      <c r="D6" s="9">
        <f t="shared" si="1"/>
        <v>100.93</v>
      </c>
      <c r="E6" s="9">
        <f t="shared" si="2"/>
        <v>0.73</v>
      </c>
      <c r="F6" s="10">
        <f t="shared" si="3"/>
        <v>2.776445105</v>
      </c>
      <c r="G6" s="11">
        <f t="shared" si="4"/>
        <v>66.57</v>
      </c>
      <c r="H6" s="10">
        <f t="shared" si="5"/>
        <v>34.301</v>
      </c>
      <c r="I6" s="10">
        <f t="shared" si="6"/>
        <v>42.59</v>
      </c>
      <c r="J6" s="12">
        <f t="shared" si="7"/>
        <v>63.978</v>
      </c>
      <c r="K6" s="13">
        <f t="shared" si="8"/>
        <v>0.902</v>
      </c>
      <c r="L6" s="10">
        <f t="shared" si="9"/>
        <v>0.13</v>
      </c>
      <c r="M6" s="10">
        <f t="shared" si="10"/>
        <v>0.1614163198</v>
      </c>
      <c r="N6" s="14">
        <f t="shared" si="11"/>
        <v>17.9</v>
      </c>
      <c r="O6" s="9">
        <f t="shared" si="12"/>
        <v>91</v>
      </c>
      <c r="P6" s="9">
        <f t="shared" si="13"/>
        <v>5.49</v>
      </c>
    </row>
    <row r="7">
      <c r="A7" s="8">
        <v>6.0</v>
      </c>
      <c r="B7" s="8">
        <v>0.002</v>
      </c>
      <c r="C7" s="8">
        <v>0.145</v>
      </c>
      <c r="D7" s="9">
        <f t="shared" si="1"/>
        <v>50.46</v>
      </c>
      <c r="E7" s="9">
        <f t="shared" si="2"/>
        <v>1.2</v>
      </c>
      <c r="F7" s="10">
        <f t="shared" si="3"/>
        <v>2.570581836</v>
      </c>
      <c r="G7" s="11">
        <f t="shared" si="4"/>
        <v>63.89</v>
      </c>
      <c r="H7" s="10">
        <f t="shared" si="5"/>
        <v>31.377</v>
      </c>
      <c r="I7" s="10">
        <f t="shared" si="6"/>
        <v>32.93</v>
      </c>
      <c r="J7" s="12">
        <f t="shared" si="7"/>
        <v>51.542</v>
      </c>
      <c r="K7" s="13">
        <f t="shared" si="8"/>
        <v>0.952</v>
      </c>
      <c r="L7" s="10">
        <f t="shared" si="9"/>
        <v>0.168</v>
      </c>
      <c r="M7" s="10">
        <f t="shared" si="10"/>
        <v>0.1763051875</v>
      </c>
      <c r="N7" s="14">
        <f t="shared" si="11"/>
        <v>18.52</v>
      </c>
      <c r="O7" s="9">
        <f t="shared" si="12"/>
        <v>91</v>
      </c>
      <c r="P7" s="9">
        <f t="shared" si="13"/>
        <v>6.59</v>
      </c>
    </row>
    <row r="8">
      <c r="A8" s="8">
        <v>7.0</v>
      </c>
      <c r="B8" s="15">
        <v>9.23E-4</v>
      </c>
      <c r="C8" s="8">
        <v>0.115</v>
      </c>
      <c r="D8" s="9">
        <f t="shared" si="1"/>
        <v>34.28</v>
      </c>
      <c r="E8" s="16">
        <f t="shared" si="2"/>
        <v>0.88</v>
      </c>
      <c r="F8" s="10">
        <f t="shared" si="3"/>
        <v>2.446911851</v>
      </c>
      <c r="G8" s="11">
        <f t="shared" si="4"/>
        <v>59.66</v>
      </c>
      <c r="H8" s="10">
        <f t="shared" si="5"/>
        <v>30.752</v>
      </c>
      <c r="I8" s="10">
        <f t="shared" si="6"/>
        <v>28.44</v>
      </c>
      <c r="J8" s="12">
        <f t="shared" si="7"/>
        <v>47.67</v>
      </c>
      <c r="K8" s="13">
        <f t="shared" si="8"/>
        <v>0.941</v>
      </c>
      <c r="L8" s="10">
        <f t="shared" si="9"/>
        <v>0.156</v>
      </c>
      <c r="M8" s="10">
        <f t="shared" si="10"/>
        <v>0.1442759367</v>
      </c>
      <c r="N8" s="14">
        <f t="shared" si="11"/>
        <v>15.33</v>
      </c>
      <c r="O8" s="9">
        <f t="shared" si="12"/>
        <v>91</v>
      </c>
      <c r="P8" s="9">
        <f t="shared" si="13"/>
        <v>7.69</v>
      </c>
    </row>
    <row r="9">
      <c r="A9" s="8">
        <v>8.0</v>
      </c>
      <c r="B9" s="8">
        <v>0.003</v>
      </c>
      <c r="C9" s="8">
        <v>0.204</v>
      </c>
      <c r="D9" s="9">
        <f t="shared" si="1"/>
        <v>61.8</v>
      </c>
      <c r="E9" s="9">
        <f t="shared" si="2"/>
        <v>0.91</v>
      </c>
      <c r="F9" s="10">
        <f t="shared" si="3"/>
        <v>2.364624252</v>
      </c>
      <c r="G9" s="11">
        <f t="shared" si="4"/>
        <v>59.93</v>
      </c>
      <c r="H9" s="10">
        <f t="shared" si="5"/>
        <v>28.48</v>
      </c>
      <c r="I9" s="10">
        <f t="shared" si="6"/>
        <v>23.81</v>
      </c>
      <c r="J9" s="12">
        <f t="shared" si="7"/>
        <v>39.73</v>
      </c>
      <c r="K9" s="13">
        <f t="shared" si="8"/>
        <v>0.938</v>
      </c>
      <c r="L9" s="10">
        <f t="shared" si="9"/>
        <v>0.145</v>
      </c>
      <c r="M9" s="10">
        <f t="shared" si="10"/>
        <v>0.1212230336</v>
      </c>
      <c r="N9" s="14">
        <f t="shared" si="11"/>
        <v>12.92</v>
      </c>
      <c r="O9" s="9">
        <f t="shared" si="12"/>
        <v>91</v>
      </c>
      <c r="P9" s="9">
        <f t="shared" si="13"/>
        <v>8.79</v>
      </c>
    </row>
    <row r="10">
      <c r="A10" s="8">
        <v>9.0</v>
      </c>
      <c r="B10" s="8">
        <v>0.004</v>
      </c>
      <c r="C10" s="8">
        <v>0.226</v>
      </c>
      <c r="D10" s="9">
        <f t="shared" si="1"/>
        <v>71.36</v>
      </c>
      <c r="E10" s="9">
        <f t="shared" si="2"/>
        <v>0.98</v>
      </c>
      <c r="F10" s="10">
        <f t="shared" si="3"/>
        <v>2.306004135</v>
      </c>
      <c r="G10" s="11">
        <f t="shared" si="4"/>
        <v>61.2</v>
      </c>
      <c r="H10" s="10">
        <f t="shared" si="5"/>
        <v>26.912</v>
      </c>
      <c r="I10" s="10">
        <f t="shared" si="6"/>
        <v>20.69</v>
      </c>
      <c r="J10" s="12">
        <f t="shared" si="7"/>
        <v>33.807</v>
      </c>
      <c r="K10" s="13">
        <f t="shared" si="8"/>
        <v>0.942</v>
      </c>
      <c r="L10" s="10">
        <f t="shared" si="9"/>
        <v>0.136</v>
      </c>
      <c r="M10" s="10">
        <f t="shared" si="10"/>
        <v>0.1045388541</v>
      </c>
      <c r="N10" s="14">
        <f t="shared" si="11"/>
        <v>11.1</v>
      </c>
      <c r="O10" s="9">
        <f t="shared" si="12"/>
        <v>91</v>
      </c>
      <c r="P10" s="9">
        <f t="shared" si="13"/>
        <v>9.89</v>
      </c>
    </row>
    <row r="11">
      <c r="A11" s="8">
        <v>10.0</v>
      </c>
      <c r="B11" s="8">
        <v>0.007</v>
      </c>
      <c r="C11" s="8">
        <v>0.419</v>
      </c>
      <c r="D11" s="9">
        <f t="shared" si="1"/>
        <v>94.41</v>
      </c>
      <c r="E11" s="9">
        <f t="shared" si="2"/>
        <v>0.5</v>
      </c>
      <c r="F11" s="10">
        <f t="shared" si="3"/>
        <v>2.262157163</v>
      </c>
      <c r="G11" s="11">
        <f t="shared" si="4"/>
        <v>64.52</v>
      </c>
      <c r="H11" s="10">
        <f t="shared" si="5"/>
        <v>27.461</v>
      </c>
      <c r="I11" s="10">
        <f t="shared" si="6"/>
        <v>19.64</v>
      </c>
      <c r="J11" s="12">
        <f t="shared" si="7"/>
        <v>30.44</v>
      </c>
      <c r="K11" s="13">
        <f t="shared" si="8"/>
        <v>0.898</v>
      </c>
      <c r="L11" s="10">
        <f t="shared" si="9"/>
        <v>0.19</v>
      </c>
      <c r="M11" s="10">
        <f t="shared" si="10"/>
        <v>0.1359178121</v>
      </c>
      <c r="N11" s="14">
        <f t="shared" si="11"/>
        <v>15.14</v>
      </c>
      <c r="O11" s="9">
        <f t="shared" si="12"/>
        <v>91</v>
      </c>
      <c r="P11" s="9">
        <f t="shared" si="13"/>
        <v>10.99</v>
      </c>
    </row>
    <row r="12">
      <c r="A12" s="8">
        <v>11.0</v>
      </c>
      <c r="B12" s="8">
        <v>0.006</v>
      </c>
      <c r="C12" s="8">
        <v>0.32</v>
      </c>
      <c r="D12" s="9">
        <f t="shared" si="1"/>
        <v>87.4</v>
      </c>
      <c r="E12" s="9">
        <f t="shared" si="2"/>
        <v>0.74</v>
      </c>
      <c r="F12" s="10">
        <f t="shared" si="3"/>
        <v>2.228138852</v>
      </c>
      <c r="G12" s="11">
        <f t="shared" si="4"/>
        <v>66.6</v>
      </c>
      <c r="H12" s="10">
        <f t="shared" si="5"/>
        <v>26.95</v>
      </c>
      <c r="I12" s="10">
        <f t="shared" si="6"/>
        <v>18.11</v>
      </c>
      <c r="J12" s="12">
        <f t="shared" si="7"/>
        <v>27.192</v>
      </c>
      <c r="K12" s="13">
        <f t="shared" si="8"/>
        <v>0.884</v>
      </c>
      <c r="L12" s="10">
        <f t="shared" si="9"/>
        <v>0.186</v>
      </c>
      <c r="M12" s="10">
        <f t="shared" si="10"/>
        <v>0.1249565003</v>
      </c>
      <c r="N12" s="14">
        <f t="shared" si="11"/>
        <v>14.14</v>
      </c>
      <c r="O12" s="9">
        <f t="shared" si="12"/>
        <v>91</v>
      </c>
      <c r="P12" s="9">
        <f t="shared" si="13"/>
        <v>12.09</v>
      </c>
    </row>
    <row r="13">
      <c r="A13" s="8">
        <v>12.0</v>
      </c>
      <c r="B13" s="8">
        <v>0.024</v>
      </c>
      <c r="C13" s="8">
        <v>0.712</v>
      </c>
      <c r="D13" s="9">
        <f t="shared" si="1"/>
        <v>174.81</v>
      </c>
      <c r="E13" s="9">
        <f t="shared" si="2"/>
        <v>0.59</v>
      </c>
      <c r="F13" s="10">
        <f t="shared" si="3"/>
        <v>2.20098516</v>
      </c>
      <c r="G13" s="11">
        <f t="shared" si="4"/>
        <v>75.62</v>
      </c>
      <c r="H13" s="10">
        <f t="shared" si="5"/>
        <v>40.449</v>
      </c>
      <c r="I13" s="10">
        <f t="shared" si="6"/>
        <v>25.7</v>
      </c>
      <c r="J13" s="12">
        <f t="shared" si="7"/>
        <v>33.986</v>
      </c>
      <c r="K13" s="13">
        <f t="shared" si="8"/>
        <v>0.859</v>
      </c>
      <c r="L13" s="10">
        <f t="shared" si="9"/>
        <v>0.197</v>
      </c>
      <c r="M13" s="10">
        <f t="shared" si="10"/>
        <v>0.1251678284</v>
      </c>
      <c r="N13" s="14">
        <f t="shared" si="11"/>
        <v>14.57</v>
      </c>
      <c r="O13" s="9">
        <f t="shared" si="12"/>
        <v>91</v>
      </c>
      <c r="P13" s="9">
        <f t="shared" si="13"/>
        <v>13.19</v>
      </c>
    </row>
    <row r="14">
      <c r="A14" s="8">
        <v>13.0</v>
      </c>
      <c r="B14" s="8">
        <v>0.002</v>
      </c>
      <c r="C14" s="8">
        <v>0.149</v>
      </c>
      <c r="D14" s="9">
        <f t="shared" si="1"/>
        <v>50.46</v>
      </c>
      <c r="E14" s="9">
        <f t="shared" si="2"/>
        <v>1.13</v>
      </c>
      <c r="F14" s="10">
        <f t="shared" si="3"/>
        <v>2.17881283</v>
      </c>
      <c r="G14" s="11">
        <f t="shared" si="4"/>
        <v>73.68</v>
      </c>
      <c r="H14" s="10">
        <f t="shared" si="5"/>
        <v>39.35</v>
      </c>
      <c r="I14" s="10">
        <f t="shared" si="6"/>
        <v>23.78</v>
      </c>
      <c r="J14" s="12">
        <f t="shared" si="7"/>
        <v>32.275</v>
      </c>
      <c r="K14" s="13">
        <f t="shared" si="8"/>
        <v>0.88</v>
      </c>
      <c r="L14" s="10">
        <f t="shared" si="9"/>
        <v>0.203</v>
      </c>
      <c r="M14" s="10">
        <f t="shared" si="10"/>
        <v>0.1226716723</v>
      </c>
      <c r="N14" s="14">
        <f t="shared" si="11"/>
        <v>13.94</v>
      </c>
      <c r="O14" s="9">
        <f t="shared" si="12"/>
        <v>91</v>
      </c>
      <c r="P14" s="9">
        <f t="shared" si="13"/>
        <v>14.29</v>
      </c>
    </row>
    <row r="15">
      <c r="A15" s="8">
        <v>14.0</v>
      </c>
      <c r="B15" s="8">
        <v>0.006</v>
      </c>
      <c r="C15" s="8">
        <v>0.297</v>
      </c>
      <c r="D15" s="9">
        <f t="shared" si="1"/>
        <v>87.4</v>
      </c>
      <c r="E15" s="9">
        <f t="shared" si="2"/>
        <v>0.85</v>
      </c>
      <c r="F15" s="10">
        <f t="shared" si="3"/>
        <v>2.160368656</v>
      </c>
      <c r="G15" s="11">
        <f t="shared" si="4"/>
        <v>74.66</v>
      </c>
      <c r="H15" s="10">
        <f t="shared" si="5"/>
        <v>37.984</v>
      </c>
      <c r="I15" s="10">
        <f t="shared" si="6"/>
        <v>21.93</v>
      </c>
      <c r="J15" s="12">
        <f t="shared" si="7"/>
        <v>29.373</v>
      </c>
      <c r="K15" s="13">
        <f t="shared" si="8"/>
        <v>0.878</v>
      </c>
      <c r="L15" s="10">
        <f t="shared" si="9"/>
        <v>0.195</v>
      </c>
      <c r="M15" s="10">
        <f t="shared" si="10"/>
        <v>0.112589648</v>
      </c>
      <c r="N15" s="14">
        <f t="shared" si="11"/>
        <v>12.82</v>
      </c>
      <c r="O15" s="9">
        <f t="shared" si="12"/>
        <v>91</v>
      </c>
      <c r="P15" s="9">
        <f t="shared" si="13"/>
        <v>15.38</v>
      </c>
    </row>
    <row r="16">
      <c r="A16" s="8">
        <v>15.0</v>
      </c>
      <c r="B16" s="8">
        <v>0.003</v>
      </c>
      <c r="C16" s="8">
        <v>0.193</v>
      </c>
      <c r="D16" s="9">
        <f t="shared" si="1"/>
        <v>61.8</v>
      </c>
      <c r="E16" s="9">
        <f t="shared" si="2"/>
        <v>1.01</v>
      </c>
      <c r="F16" s="10">
        <f t="shared" si="3"/>
        <v>2.144786688</v>
      </c>
      <c r="G16" s="11">
        <f t="shared" si="4"/>
        <v>73.8</v>
      </c>
      <c r="H16" s="10">
        <f t="shared" si="5"/>
        <v>36.752</v>
      </c>
      <c r="I16" s="10">
        <f t="shared" si="6"/>
        <v>20.35</v>
      </c>
      <c r="J16" s="12">
        <f t="shared" si="7"/>
        <v>27.575</v>
      </c>
      <c r="K16" s="13">
        <f t="shared" si="8"/>
        <v>0.887</v>
      </c>
      <c r="L16" s="10">
        <f t="shared" si="9"/>
        <v>0.191</v>
      </c>
      <c r="M16" s="10">
        <f t="shared" si="10"/>
        <v>0.1057722744</v>
      </c>
      <c r="N16" s="14">
        <f t="shared" si="11"/>
        <v>11.92</v>
      </c>
      <c r="O16" s="9">
        <f t="shared" si="12"/>
        <v>91</v>
      </c>
      <c r="P16" s="9">
        <f t="shared" si="13"/>
        <v>16.48</v>
      </c>
    </row>
    <row r="17">
      <c r="A17" s="8">
        <v>16.0</v>
      </c>
      <c r="B17" s="8">
        <v>0.002</v>
      </c>
      <c r="C17" s="8">
        <v>0.168</v>
      </c>
      <c r="D17" s="9">
        <f t="shared" si="1"/>
        <v>50.46</v>
      </c>
      <c r="E17" s="9">
        <f t="shared" si="2"/>
        <v>0.89</v>
      </c>
      <c r="F17" s="10">
        <f t="shared" si="3"/>
        <v>2.131449546</v>
      </c>
      <c r="G17" s="11">
        <f t="shared" si="4"/>
        <v>72.34</v>
      </c>
      <c r="H17" s="10">
        <f t="shared" si="5"/>
        <v>35.982</v>
      </c>
      <c r="I17" s="10">
        <f t="shared" si="6"/>
        <v>19.17</v>
      </c>
      <c r="J17" s="12">
        <f t="shared" si="7"/>
        <v>26.5</v>
      </c>
      <c r="K17" s="13">
        <f t="shared" si="8"/>
        <v>0.887</v>
      </c>
      <c r="L17" s="10">
        <f t="shared" si="9"/>
        <v>0.185</v>
      </c>
      <c r="M17" s="10">
        <f t="shared" si="10"/>
        <v>0.09857954148</v>
      </c>
      <c r="N17" s="14">
        <f t="shared" si="11"/>
        <v>11.11</v>
      </c>
      <c r="O17" s="9">
        <f t="shared" si="12"/>
        <v>91</v>
      </c>
      <c r="P17" s="9">
        <f t="shared" si="13"/>
        <v>17.58</v>
      </c>
    </row>
    <row r="18">
      <c r="A18" s="8">
        <v>17.0</v>
      </c>
      <c r="B18" s="8">
        <v>0.001</v>
      </c>
      <c r="C18" s="8">
        <v>0.118</v>
      </c>
      <c r="D18" s="9">
        <f t="shared" si="1"/>
        <v>35.68</v>
      </c>
      <c r="E18" s="9">
        <f t="shared" si="2"/>
        <v>0.9</v>
      </c>
      <c r="F18" s="10">
        <f t="shared" si="3"/>
        <v>2.119905299</v>
      </c>
      <c r="G18" s="11">
        <f t="shared" si="4"/>
        <v>70.19</v>
      </c>
      <c r="H18" s="10">
        <f t="shared" si="5"/>
        <v>35.957</v>
      </c>
      <c r="I18" s="10">
        <f t="shared" si="6"/>
        <v>18.49</v>
      </c>
      <c r="J18" s="12">
        <f t="shared" si="7"/>
        <v>26.343</v>
      </c>
      <c r="K18" s="13">
        <f t="shared" si="8"/>
        <v>0.888</v>
      </c>
      <c r="L18" s="10">
        <f t="shared" si="9"/>
        <v>0.179</v>
      </c>
      <c r="M18" s="10">
        <f t="shared" si="10"/>
        <v>0.09203330766</v>
      </c>
      <c r="N18" s="14">
        <f t="shared" si="11"/>
        <v>10.36</v>
      </c>
      <c r="O18" s="9">
        <f t="shared" si="12"/>
        <v>91</v>
      </c>
      <c r="P18" s="9">
        <f t="shared" si="13"/>
        <v>18.68</v>
      </c>
    </row>
    <row r="19">
      <c r="A19" s="8">
        <v>18.0</v>
      </c>
      <c r="B19" s="8">
        <v>0.003</v>
      </c>
      <c r="C19" s="8">
        <v>0.193</v>
      </c>
      <c r="D19" s="9">
        <f t="shared" si="1"/>
        <v>61.8</v>
      </c>
      <c r="E19" s="9">
        <f t="shared" si="2"/>
        <v>1.01</v>
      </c>
      <c r="F19" s="10">
        <f t="shared" si="3"/>
        <v>2.109815578</v>
      </c>
      <c r="G19" s="11">
        <f t="shared" si="4"/>
        <v>69.72</v>
      </c>
      <c r="H19" s="10">
        <f t="shared" si="5"/>
        <v>34.939</v>
      </c>
      <c r="I19" s="10">
        <f t="shared" si="6"/>
        <v>17.37</v>
      </c>
      <c r="J19" s="12">
        <f t="shared" si="7"/>
        <v>24.914</v>
      </c>
      <c r="K19" s="13">
        <f t="shared" si="8"/>
        <v>0.894</v>
      </c>
      <c r="L19" s="10">
        <f t="shared" si="9"/>
        <v>0.176</v>
      </c>
      <c r="M19" s="10">
        <f t="shared" si="10"/>
        <v>0.08752274093</v>
      </c>
      <c r="N19" s="14">
        <f t="shared" si="11"/>
        <v>9.79</v>
      </c>
      <c r="O19" s="9">
        <f t="shared" si="12"/>
        <v>91</v>
      </c>
      <c r="P19" s="9">
        <f t="shared" si="13"/>
        <v>19.78</v>
      </c>
    </row>
    <row r="20">
      <c r="A20" s="8">
        <v>19.0</v>
      </c>
      <c r="B20" s="8">
        <v>0.004</v>
      </c>
      <c r="C20" s="8">
        <v>0.217</v>
      </c>
      <c r="D20" s="9">
        <f t="shared" si="1"/>
        <v>71.36</v>
      </c>
      <c r="E20" s="9">
        <f t="shared" si="2"/>
        <v>1.07</v>
      </c>
      <c r="F20" s="10">
        <f t="shared" si="3"/>
        <v>2.10092204</v>
      </c>
      <c r="G20" s="11">
        <f t="shared" si="4"/>
        <v>69.81</v>
      </c>
      <c r="H20" s="10">
        <f t="shared" si="5"/>
        <v>33.957</v>
      </c>
      <c r="I20" s="10">
        <f t="shared" si="6"/>
        <v>16.37</v>
      </c>
      <c r="J20" s="12">
        <f t="shared" si="7"/>
        <v>23.449</v>
      </c>
      <c r="K20" s="13">
        <f t="shared" si="8"/>
        <v>0.904</v>
      </c>
      <c r="L20" s="10">
        <f t="shared" si="9"/>
        <v>0.176</v>
      </c>
      <c r="M20" s="10">
        <f t="shared" si="10"/>
        <v>0.08482928461</v>
      </c>
      <c r="N20" s="14">
        <f t="shared" si="11"/>
        <v>9.38</v>
      </c>
      <c r="O20" s="9">
        <f t="shared" si="12"/>
        <v>91</v>
      </c>
      <c r="P20" s="9">
        <f t="shared" si="13"/>
        <v>20.88</v>
      </c>
    </row>
    <row r="21">
      <c r="A21" s="8">
        <v>20.0</v>
      </c>
      <c r="B21" s="15">
        <v>8.785E-4</v>
      </c>
      <c r="C21" s="8">
        <v>0.106</v>
      </c>
      <c r="D21" s="9">
        <f t="shared" si="1"/>
        <v>33.44</v>
      </c>
      <c r="E21" s="16">
        <f t="shared" si="2"/>
        <v>0.98</v>
      </c>
      <c r="F21" s="10">
        <f t="shared" si="3"/>
        <v>2.093024054</v>
      </c>
      <c r="G21" s="11">
        <f t="shared" si="4"/>
        <v>67.99</v>
      </c>
      <c r="H21" s="10">
        <f t="shared" si="5"/>
        <v>34.037</v>
      </c>
      <c r="I21" s="10">
        <f t="shared" si="6"/>
        <v>15.93</v>
      </c>
      <c r="J21" s="12">
        <f t="shared" si="7"/>
        <v>23.43</v>
      </c>
      <c r="K21" s="13">
        <f t="shared" si="8"/>
        <v>0.908</v>
      </c>
      <c r="L21" s="10">
        <f t="shared" si="9"/>
        <v>0.172</v>
      </c>
      <c r="M21" s="10">
        <f t="shared" si="10"/>
        <v>0.0804984779</v>
      </c>
      <c r="N21" s="14">
        <f t="shared" si="11"/>
        <v>8.87</v>
      </c>
      <c r="O21" s="9">
        <f t="shared" si="12"/>
        <v>91</v>
      </c>
      <c r="P21" s="9">
        <f t="shared" si="13"/>
        <v>21.98</v>
      </c>
    </row>
    <row r="22">
      <c r="A22" s="8">
        <v>21.0</v>
      </c>
      <c r="B22" s="8">
        <v>0.002</v>
      </c>
      <c r="C22" s="8">
        <v>0.171</v>
      </c>
      <c r="D22" s="9">
        <f t="shared" si="1"/>
        <v>50.46</v>
      </c>
      <c r="E22" s="9">
        <f t="shared" si="2"/>
        <v>0.86</v>
      </c>
      <c r="F22" s="10">
        <f t="shared" si="3"/>
        <v>2.085963447</v>
      </c>
      <c r="G22" s="11">
        <f t="shared" si="4"/>
        <v>67.15</v>
      </c>
      <c r="H22" s="10">
        <f t="shared" si="5"/>
        <v>33.395</v>
      </c>
      <c r="I22" s="10">
        <f t="shared" si="6"/>
        <v>15.2</v>
      </c>
      <c r="J22" s="12">
        <f t="shared" si="7"/>
        <v>22.636</v>
      </c>
      <c r="K22" s="13">
        <f t="shared" si="8"/>
        <v>0.905</v>
      </c>
      <c r="L22" s="10">
        <f t="shared" si="9"/>
        <v>0.168</v>
      </c>
      <c r="M22" s="10">
        <f t="shared" si="10"/>
        <v>0.07647268315</v>
      </c>
      <c r="N22" s="14">
        <f t="shared" si="11"/>
        <v>8.45</v>
      </c>
      <c r="O22" s="9">
        <f t="shared" si="12"/>
        <v>91</v>
      </c>
      <c r="P22" s="9">
        <f t="shared" si="13"/>
        <v>23.08</v>
      </c>
    </row>
    <row r="23">
      <c r="A23" s="8">
        <v>22.0</v>
      </c>
      <c r="B23" s="8">
        <v>0.005</v>
      </c>
      <c r="C23" s="8">
        <v>0.261</v>
      </c>
      <c r="D23" s="9">
        <f t="shared" si="1"/>
        <v>79.79</v>
      </c>
      <c r="E23" s="9">
        <f t="shared" si="2"/>
        <v>0.92</v>
      </c>
      <c r="F23" s="10">
        <f t="shared" si="3"/>
        <v>2.079613845</v>
      </c>
      <c r="G23" s="11">
        <f t="shared" si="4"/>
        <v>67.73</v>
      </c>
      <c r="H23" s="10">
        <f t="shared" si="5"/>
        <v>32.701</v>
      </c>
      <c r="I23" s="10">
        <f t="shared" si="6"/>
        <v>14.5</v>
      </c>
      <c r="J23" s="12">
        <f t="shared" si="7"/>
        <v>21.409</v>
      </c>
      <c r="K23" s="13">
        <f t="shared" si="8"/>
        <v>0.906</v>
      </c>
      <c r="L23" s="10">
        <f t="shared" si="9"/>
        <v>0.164</v>
      </c>
      <c r="M23" s="10">
        <f t="shared" si="10"/>
        <v>0.07271352648</v>
      </c>
      <c r="N23" s="14">
        <f t="shared" si="11"/>
        <v>8.03</v>
      </c>
      <c r="O23" s="9">
        <f t="shared" si="12"/>
        <v>91</v>
      </c>
      <c r="P23" s="9">
        <f t="shared" si="13"/>
        <v>24.18</v>
      </c>
    </row>
    <row r="24">
      <c r="A24" s="8">
        <v>23.0</v>
      </c>
      <c r="B24" s="8">
        <v>0.014</v>
      </c>
      <c r="C24" s="8">
        <v>0.627</v>
      </c>
      <c r="D24" s="9">
        <f t="shared" si="1"/>
        <v>133.51</v>
      </c>
      <c r="E24" s="9">
        <f t="shared" si="2"/>
        <v>0.45</v>
      </c>
      <c r="F24" s="10">
        <f t="shared" si="3"/>
        <v>2.073873068</v>
      </c>
      <c r="G24" s="11">
        <f t="shared" si="4"/>
        <v>70.59</v>
      </c>
      <c r="H24" s="10">
        <f t="shared" si="5"/>
        <v>34.769</v>
      </c>
      <c r="I24" s="10">
        <f t="shared" si="6"/>
        <v>15.04</v>
      </c>
      <c r="J24" s="12">
        <f t="shared" si="7"/>
        <v>21.306</v>
      </c>
      <c r="K24" s="13">
        <f t="shared" si="8"/>
        <v>0.886</v>
      </c>
      <c r="L24" s="10">
        <f t="shared" si="9"/>
        <v>0.186</v>
      </c>
      <c r="M24" s="10">
        <f t="shared" si="10"/>
        <v>0.08043243153</v>
      </c>
      <c r="N24" s="14">
        <f t="shared" si="11"/>
        <v>9.08</v>
      </c>
      <c r="O24" s="9">
        <f t="shared" si="12"/>
        <v>91</v>
      </c>
      <c r="P24" s="9">
        <f t="shared" si="13"/>
        <v>25.27</v>
      </c>
    </row>
    <row r="25">
      <c r="A25" s="8">
        <v>24.0</v>
      </c>
      <c r="B25" s="8">
        <v>0.003</v>
      </c>
      <c r="C25" s="8">
        <v>0.193</v>
      </c>
      <c r="D25" s="9">
        <f t="shared" si="1"/>
        <v>61.8</v>
      </c>
      <c r="E25" s="9">
        <f t="shared" si="2"/>
        <v>1.01</v>
      </c>
      <c r="F25" s="10">
        <f t="shared" si="3"/>
        <v>2.06865761</v>
      </c>
      <c r="G25" s="11">
        <f t="shared" si="4"/>
        <v>70.22</v>
      </c>
      <c r="H25" s="10">
        <f t="shared" si="5"/>
        <v>34.052</v>
      </c>
      <c r="I25" s="10">
        <f t="shared" si="6"/>
        <v>14.38</v>
      </c>
      <c r="J25" s="12">
        <f t="shared" si="7"/>
        <v>20.478</v>
      </c>
      <c r="K25" s="13">
        <f t="shared" si="8"/>
        <v>0.891</v>
      </c>
      <c r="L25" s="10">
        <f t="shared" si="9"/>
        <v>0.184</v>
      </c>
      <c r="M25" s="10">
        <f t="shared" si="10"/>
        <v>0.07769638584</v>
      </c>
      <c r="N25" s="14">
        <f t="shared" si="11"/>
        <v>8.72</v>
      </c>
      <c r="O25" s="9">
        <f t="shared" si="12"/>
        <v>91</v>
      </c>
      <c r="P25" s="9">
        <f t="shared" si="13"/>
        <v>26.37</v>
      </c>
    </row>
    <row r="26">
      <c r="A26" s="8">
        <v>25.0</v>
      </c>
      <c r="B26" s="15">
        <v>9.612E-4</v>
      </c>
      <c r="C26" s="8">
        <v>0.111</v>
      </c>
      <c r="D26" s="9">
        <f t="shared" si="1"/>
        <v>34.98</v>
      </c>
      <c r="E26" s="16">
        <f t="shared" si="2"/>
        <v>0.98</v>
      </c>
      <c r="F26" s="10">
        <f t="shared" si="3"/>
        <v>2.063898562</v>
      </c>
      <c r="G26" s="11">
        <f t="shared" si="4"/>
        <v>68.81</v>
      </c>
      <c r="H26" s="10">
        <f t="shared" si="5"/>
        <v>34.072</v>
      </c>
      <c r="I26" s="10">
        <f t="shared" si="6"/>
        <v>14.06</v>
      </c>
      <c r="J26" s="12">
        <f t="shared" si="7"/>
        <v>20.433</v>
      </c>
      <c r="K26" s="13">
        <f t="shared" si="8"/>
        <v>0.895</v>
      </c>
      <c r="L26" s="10">
        <f t="shared" si="9"/>
        <v>0.181</v>
      </c>
      <c r="M26" s="10">
        <f t="shared" si="10"/>
        <v>0.07471312793</v>
      </c>
      <c r="N26" s="14">
        <f t="shared" si="11"/>
        <v>8.35</v>
      </c>
      <c r="O26" s="9">
        <f t="shared" si="12"/>
        <v>91</v>
      </c>
      <c r="P26" s="9">
        <f t="shared" si="13"/>
        <v>27.47</v>
      </c>
    </row>
    <row r="27">
      <c r="A27" s="8">
        <v>26.0</v>
      </c>
      <c r="B27" s="8">
        <v>0.01</v>
      </c>
      <c r="C27" s="8">
        <v>0.442</v>
      </c>
      <c r="D27" s="9">
        <f t="shared" si="1"/>
        <v>112.84</v>
      </c>
      <c r="E27" s="9">
        <f t="shared" si="2"/>
        <v>0.64</v>
      </c>
      <c r="F27" s="10">
        <f t="shared" si="3"/>
        <v>2.059538553</v>
      </c>
      <c r="G27" s="11">
        <f t="shared" si="4"/>
        <v>70.51</v>
      </c>
      <c r="H27" s="10">
        <f t="shared" si="5"/>
        <v>34.482</v>
      </c>
      <c r="I27" s="10">
        <f t="shared" si="6"/>
        <v>13.93</v>
      </c>
      <c r="J27" s="12">
        <f t="shared" si="7"/>
        <v>19.756</v>
      </c>
      <c r="K27" s="13">
        <f t="shared" si="8"/>
        <v>0.885</v>
      </c>
      <c r="L27" s="10">
        <f t="shared" si="9"/>
        <v>0.184</v>
      </c>
      <c r="M27" s="10">
        <f t="shared" si="10"/>
        <v>0.07431920837</v>
      </c>
      <c r="N27" s="14">
        <f t="shared" si="11"/>
        <v>8.4</v>
      </c>
      <c r="O27" s="9">
        <f t="shared" si="12"/>
        <v>91</v>
      </c>
      <c r="P27" s="9">
        <f t="shared" si="13"/>
        <v>28.57</v>
      </c>
    </row>
    <row r="28">
      <c r="A28" s="8">
        <v>27.0</v>
      </c>
      <c r="B28" s="8">
        <v>0.003</v>
      </c>
      <c r="C28" s="8">
        <v>0.206</v>
      </c>
      <c r="D28" s="9">
        <f t="shared" si="1"/>
        <v>61.8</v>
      </c>
      <c r="E28" s="9">
        <f t="shared" si="2"/>
        <v>0.89</v>
      </c>
      <c r="F28" s="10">
        <f t="shared" si="3"/>
        <v>2.055529439</v>
      </c>
      <c r="G28" s="11">
        <f t="shared" si="4"/>
        <v>70.18</v>
      </c>
      <c r="H28" s="10">
        <f t="shared" si="5"/>
        <v>33.854</v>
      </c>
      <c r="I28" s="10">
        <f t="shared" si="6"/>
        <v>13.39</v>
      </c>
      <c r="J28" s="12">
        <f t="shared" si="7"/>
        <v>19.08</v>
      </c>
      <c r="K28" s="13">
        <f t="shared" si="8"/>
        <v>0.885</v>
      </c>
      <c r="L28" s="10">
        <f t="shared" si="9"/>
        <v>0.18</v>
      </c>
      <c r="M28" s="10">
        <f t="shared" si="10"/>
        <v>0.07120562848</v>
      </c>
      <c r="N28" s="14">
        <f t="shared" si="11"/>
        <v>8.05</v>
      </c>
      <c r="O28" s="9">
        <f t="shared" si="12"/>
        <v>91</v>
      </c>
      <c r="P28" s="9">
        <f t="shared" si="13"/>
        <v>29.67</v>
      </c>
    </row>
    <row r="29">
      <c r="A29" s="8">
        <v>28.0</v>
      </c>
      <c r="B29" s="15">
        <v>8.912E-4</v>
      </c>
      <c r="C29" s="8">
        <v>0.108</v>
      </c>
      <c r="D29" s="9">
        <f t="shared" si="1"/>
        <v>33.69</v>
      </c>
      <c r="E29" s="16">
        <f t="shared" si="2"/>
        <v>0.96</v>
      </c>
      <c r="F29" s="10">
        <f t="shared" si="3"/>
        <v>2.051830516</v>
      </c>
      <c r="G29" s="11">
        <f t="shared" si="4"/>
        <v>68.88</v>
      </c>
      <c r="H29" s="10">
        <f t="shared" si="5"/>
        <v>33.93</v>
      </c>
      <c r="I29" s="10">
        <f t="shared" si="6"/>
        <v>13.16</v>
      </c>
      <c r="J29" s="12">
        <f t="shared" si="7"/>
        <v>19.106</v>
      </c>
      <c r="K29" s="13">
        <f t="shared" si="8"/>
        <v>0.888</v>
      </c>
      <c r="L29" s="10">
        <f t="shared" si="9"/>
        <v>0.178</v>
      </c>
      <c r="M29" s="10">
        <f t="shared" si="10"/>
        <v>0.06902119455</v>
      </c>
      <c r="N29" s="14">
        <f t="shared" si="11"/>
        <v>7.77</v>
      </c>
      <c r="O29" s="9">
        <f t="shared" si="12"/>
        <v>91</v>
      </c>
      <c r="P29" s="9">
        <f t="shared" si="13"/>
        <v>30.77</v>
      </c>
    </row>
    <row r="30">
      <c r="A30" s="8">
        <v>29.0</v>
      </c>
      <c r="B30" s="8">
        <v>0.001</v>
      </c>
      <c r="C30" s="8">
        <v>0.12</v>
      </c>
      <c r="D30" s="9">
        <f t="shared" si="1"/>
        <v>35.68</v>
      </c>
      <c r="E30" s="9">
        <f t="shared" si="2"/>
        <v>0.87</v>
      </c>
      <c r="F30" s="10">
        <f t="shared" si="3"/>
        <v>2.048407142</v>
      </c>
      <c r="G30" s="11">
        <f t="shared" si="4"/>
        <v>67.74</v>
      </c>
      <c r="H30" s="10">
        <f t="shared" si="5"/>
        <v>33.884</v>
      </c>
      <c r="I30" s="10">
        <f t="shared" si="6"/>
        <v>12.89</v>
      </c>
      <c r="J30" s="12">
        <f t="shared" si="7"/>
        <v>19.029</v>
      </c>
      <c r="K30" s="13">
        <f t="shared" si="8"/>
        <v>0.887</v>
      </c>
      <c r="L30" s="10">
        <f t="shared" si="9"/>
        <v>0.174</v>
      </c>
      <c r="M30" s="10">
        <f t="shared" si="10"/>
        <v>0.0661860603</v>
      </c>
      <c r="N30" s="14">
        <f t="shared" si="11"/>
        <v>7.46</v>
      </c>
      <c r="O30" s="9">
        <f t="shared" si="12"/>
        <v>91</v>
      </c>
      <c r="P30" s="9">
        <f t="shared" si="13"/>
        <v>31.87</v>
      </c>
    </row>
    <row r="31">
      <c r="A31" s="8">
        <v>30.0</v>
      </c>
      <c r="B31" s="8">
        <v>0.003</v>
      </c>
      <c r="C31" s="8">
        <v>0.196</v>
      </c>
      <c r="D31" s="9">
        <f t="shared" si="1"/>
        <v>61.8</v>
      </c>
      <c r="E31" s="9">
        <f t="shared" si="2"/>
        <v>0.98</v>
      </c>
      <c r="F31" s="10">
        <f t="shared" si="3"/>
        <v>2.045229642</v>
      </c>
      <c r="G31" s="11">
        <f t="shared" si="4"/>
        <v>67.54</v>
      </c>
      <c r="H31" s="10">
        <f t="shared" si="5"/>
        <v>33.312</v>
      </c>
      <c r="I31" s="10">
        <f t="shared" si="6"/>
        <v>12.44</v>
      </c>
      <c r="J31" s="12">
        <f t="shared" si="7"/>
        <v>18.419</v>
      </c>
      <c r="K31" s="13">
        <f t="shared" si="8"/>
        <v>0.89</v>
      </c>
      <c r="L31" s="10">
        <f t="shared" si="9"/>
        <v>0.172</v>
      </c>
      <c r="M31" s="10">
        <f t="shared" si="10"/>
        <v>0.06422585552</v>
      </c>
      <c r="N31" s="14">
        <f t="shared" si="11"/>
        <v>7.22</v>
      </c>
      <c r="O31" s="9">
        <f t="shared" si="12"/>
        <v>91</v>
      </c>
      <c r="P31" s="9">
        <f t="shared" si="13"/>
        <v>32.97</v>
      </c>
    </row>
    <row r="32">
      <c r="A32" s="8">
        <v>31.0</v>
      </c>
      <c r="B32" s="8">
        <v>0.002</v>
      </c>
      <c r="C32" s="8">
        <v>0.148</v>
      </c>
      <c r="D32" s="9">
        <f t="shared" si="1"/>
        <v>50.46</v>
      </c>
      <c r="E32" s="9">
        <f t="shared" si="2"/>
        <v>1.15</v>
      </c>
      <c r="F32" s="10">
        <f t="shared" si="3"/>
        <v>2.042272456</v>
      </c>
      <c r="G32" s="11">
        <f t="shared" si="4"/>
        <v>66.99</v>
      </c>
      <c r="H32" s="10">
        <f t="shared" si="5"/>
        <v>32.896</v>
      </c>
      <c r="I32" s="10">
        <f t="shared" si="6"/>
        <v>12.07</v>
      </c>
      <c r="J32" s="12">
        <f t="shared" si="7"/>
        <v>18.018</v>
      </c>
      <c r="K32" s="13">
        <f t="shared" si="8"/>
        <v>0.899</v>
      </c>
      <c r="L32" s="10">
        <f t="shared" si="9"/>
        <v>0.176</v>
      </c>
      <c r="M32" s="10">
        <f t="shared" si="10"/>
        <v>0.06455732119</v>
      </c>
      <c r="N32" s="14">
        <f t="shared" si="11"/>
        <v>7.18</v>
      </c>
      <c r="O32" s="9">
        <f t="shared" si="12"/>
        <v>91</v>
      </c>
      <c r="P32" s="9">
        <f t="shared" si="13"/>
        <v>34.07</v>
      </c>
    </row>
    <row r="33">
      <c r="A33" s="8">
        <v>32.0</v>
      </c>
      <c r="B33" s="8">
        <v>0.003</v>
      </c>
      <c r="C33" s="8">
        <v>0.21</v>
      </c>
      <c r="D33" s="9">
        <f t="shared" si="1"/>
        <v>61.8</v>
      </c>
      <c r="E33" s="9">
        <f t="shared" si="2"/>
        <v>0.85</v>
      </c>
      <c r="F33" s="10">
        <f t="shared" si="3"/>
        <v>2.039513446</v>
      </c>
      <c r="G33" s="11">
        <f t="shared" si="4"/>
        <v>66.83</v>
      </c>
      <c r="H33" s="10">
        <f t="shared" si="5"/>
        <v>32.374</v>
      </c>
      <c r="I33" s="10">
        <f t="shared" si="6"/>
        <v>11.67</v>
      </c>
      <c r="J33" s="12">
        <f t="shared" si="7"/>
        <v>17.462</v>
      </c>
      <c r="K33" s="13">
        <f t="shared" si="8"/>
        <v>0.897</v>
      </c>
      <c r="L33" s="10">
        <f t="shared" si="9"/>
        <v>0.173</v>
      </c>
      <c r="M33" s="10">
        <f t="shared" si="10"/>
        <v>0.06237315134</v>
      </c>
      <c r="N33" s="14">
        <f t="shared" si="11"/>
        <v>6.95</v>
      </c>
      <c r="O33" s="9">
        <f t="shared" si="12"/>
        <v>91</v>
      </c>
      <c r="P33" s="9">
        <f t="shared" si="13"/>
        <v>35.16</v>
      </c>
    </row>
    <row r="34">
      <c r="A34" s="8">
        <v>33.0</v>
      </c>
      <c r="B34" s="8">
        <v>0.003</v>
      </c>
      <c r="C34" s="8">
        <v>0.274</v>
      </c>
      <c r="D34" s="9">
        <f t="shared" si="1"/>
        <v>61.8</v>
      </c>
      <c r="E34" s="9">
        <f t="shared" si="2"/>
        <v>0.5</v>
      </c>
      <c r="F34" s="10">
        <f t="shared" si="3"/>
        <v>2.036933343</v>
      </c>
      <c r="G34" s="11">
        <f t="shared" si="4"/>
        <v>66.67</v>
      </c>
      <c r="H34" s="10">
        <f t="shared" si="5"/>
        <v>31.876</v>
      </c>
      <c r="I34" s="10">
        <f t="shared" si="6"/>
        <v>11.3</v>
      </c>
      <c r="J34" s="12">
        <f t="shared" si="7"/>
        <v>16.949</v>
      </c>
      <c r="K34" s="13">
        <f t="shared" si="8"/>
        <v>0.885</v>
      </c>
      <c r="L34" s="10">
        <f t="shared" si="9"/>
        <v>0.184</v>
      </c>
      <c r="M34" s="10">
        <f t="shared" si="10"/>
        <v>0.06524356305</v>
      </c>
      <c r="N34" s="14">
        <f t="shared" si="11"/>
        <v>7.37</v>
      </c>
      <c r="O34" s="9">
        <f t="shared" si="12"/>
        <v>91</v>
      </c>
      <c r="P34" s="9">
        <f t="shared" si="13"/>
        <v>36.26</v>
      </c>
    </row>
    <row r="35">
      <c r="A35" s="8">
        <v>34.0</v>
      </c>
      <c r="B35" s="8">
        <v>0.001</v>
      </c>
      <c r="C35" s="8">
        <v>0.146</v>
      </c>
      <c r="D35" s="9">
        <f t="shared" si="1"/>
        <v>35.68</v>
      </c>
      <c r="E35" s="9">
        <f t="shared" si="2"/>
        <v>0.59</v>
      </c>
      <c r="F35" s="10">
        <f t="shared" si="3"/>
        <v>2.034515297</v>
      </c>
      <c r="G35" s="11">
        <f t="shared" si="4"/>
        <v>65.76</v>
      </c>
      <c r="H35" s="10">
        <f t="shared" si="5"/>
        <v>31.836</v>
      </c>
      <c r="I35" s="10">
        <f t="shared" si="6"/>
        <v>11.11</v>
      </c>
      <c r="J35" s="12">
        <f t="shared" si="7"/>
        <v>16.895</v>
      </c>
      <c r="K35" s="13">
        <f t="shared" si="8"/>
        <v>0.876</v>
      </c>
      <c r="L35" s="10">
        <f t="shared" si="9"/>
        <v>0.188</v>
      </c>
      <c r="M35" s="10">
        <f t="shared" si="10"/>
        <v>0.06559630105</v>
      </c>
      <c r="N35" s="14">
        <f t="shared" si="11"/>
        <v>7.49</v>
      </c>
      <c r="O35" s="9">
        <f t="shared" si="12"/>
        <v>91</v>
      </c>
      <c r="P35" s="9">
        <f t="shared" si="13"/>
        <v>37.36</v>
      </c>
    </row>
    <row r="36">
      <c r="A36" s="8">
        <v>35.0</v>
      </c>
      <c r="B36" s="8">
        <v>0.003</v>
      </c>
      <c r="C36" s="8">
        <v>0.219</v>
      </c>
      <c r="D36" s="9">
        <f t="shared" si="1"/>
        <v>61.8</v>
      </c>
      <c r="E36" s="9">
        <f t="shared" si="2"/>
        <v>0.79</v>
      </c>
      <c r="F36" s="10">
        <f t="shared" si="3"/>
        <v>2.032244509</v>
      </c>
      <c r="G36" s="11">
        <f t="shared" si="4"/>
        <v>65.65</v>
      </c>
      <c r="H36" s="10">
        <f t="shared" si="5"/>
        <v>31.372</v>
      </c>
      <c r="I36" s="10">
        <f t="shared" si="6"/>
        <v>10.78</v>
      </c>
      <c r="J36" s="12">
        <f t="shared" si="7"/>
        <v>16.42</v>
      </c>
      <c r="K36" s="13">
        <f t="shared" si="8"/>
        <v>0.874</v>
      </c>
      <c r="L36" s="10">
        <f t="shared" si="9"/>
        <v>0.186</v>
      </c>
      <c r="M36" s="10">
        <f t="shared" si="10"/>
        <v>0.06389323549</v>
      </c>
      <c r="N36" s="14">
        <f t="shared" si="11"/>
        <v>7.31</v>
      </c>
      <c r="O36" s="9">
        <f t="shared" si="12"/>
        <v>91</v>
      </c>
      <c r="P36" s="9">
        <f t="shared" si="13"/>
        <v>38.46</v>
      </c>
    </row>
    <row r="37">
      <c r="A37" s="8">
        <v>36.0</v>
      </c>
      <c r="B37" s="8">
        <v>0.001</v>
      </c>
      <c r="C37" s="8">
        <v>0.14</v>
      </c>
      <c r="D37" s="9">
        <f t="shared" si="1"/>
        <v>35.68</v>
      </c>
      <c r="E37" s="9">
        <f t="shared" si="2"/>
        <v>0.64</v>
      </c>
      <c r="F37" s="10">
        <f t="shared" si="3"/>
        <v>2.030107928</v>
      </c>
      <c r="G37" s="11">
        <f t="shared" si="4"/>
        <v>64.82</v>
      </c>
      <c r="H37" s="10">
        <f t="shared" si="5"/>
        <v>31.321</v>
      </c>
      <c r="I37" s="10">
        <f t="shared" si="6"/>
        <v>10.6</v>
      </c>
      <c r="J37" s="12">
        <f t="shared" si="7"/>
        <v>16.353</v>
      </c>
      <c r="K37" s="13">
        <f t="shared" si="8"/>
        <v>0.868</v>
      </c>
      <c r="L37" s="10">
        <f t="shared" si="9"/>
        <v>0.187</v>
      </c>
      <c r="M37" s="10">
        <f t="shared" si="10"/>
        <v>0.0632716971</v>
      </c>
      <c r="N37" s="14">
        <f t="shared" si="11"/>
        <v>7.29</v>
      </c>
      <c r="O37" s="9">
        <f t="shared" si="12"/>
        <v>91</v>
      </c>
      <c r="P37" s="9">
        <f t="shared" si="13"/>
        <v>39.56</v>
      </c>
    </row>
    <row r="38">
      <c r="A38" s="8">
        <v>37.0</v>
      </c>
      <c r="B38" s="8">
        <v>0.002</v>
      </c>
      <c r="C38" s="8">
        <v>0.147</v>
      </c>
      <c r="D38" s="9">
        <f t="shared" si="1"/>
        <v>50.46</v>
      </c>
      <c r="E38" s="9">
        <f t="shared" si="2"/>
        <v>1.16</v>
      </c>
      <c r="F38" s="10">
        <f t="shared" si="3"/>
        <v>2.028094001</v>
      </c>
      <c r="G38" s="11">
        <f t="shared" si="4"/>
        <v>64.43</v>
      </c>
      <c r="H38" s="10">
        <f t="shared" si="5"/>
        <v>30.973</v>
      </c>
      <c r="I38" s="10">
        <f t="shared" si="6"/>
        <v>10.33</v>
      </c>
      <c r="J38" s="12">
        <f t="shared" si="7"/>
        <v>16.033</v>
      </c>
      <c r="K38" s="13">
        <f t="shared" si="8"/>
        <v>0.875</v>
      </c>
      <c r="L38" s="10">
        <f t="shared" si="9"/>
        <v>0.191</v>
      </c>
      <c r="M38" s="10">
        <f t="shared" si="10"/>
        <v>0.06368257058</v>
      </c>
      <c r="N38" s="14">
        <f t="shared" si="11"/>
        <v>7.28</v>
      </c>
      <c r="O38" s="9">
        <f t="shared" si="12"/>
        <v>91</v>
      </c>
      <c r="P38" s="9">
        <f t="shared" si="13"/>
        <v>40.66</v>
      </c>
    </row>
    <row r="39">
      <c r="A39" s="8">
        <v>38.0</v>
      </c>
      <c r="B39" s="8">
        <v>0.002</v>
      </c>
      <c r="C39" s="8">
        <v>0.165</v>
      </c>
      <c r="D39" s="9">
        <f t="shared" si="1"/>
        <v>50.46</v>
      </c>
      <c r="E39" s="9">
        <f t="shared" si="2"/>
        <v>0.92</v>
      </c>
      <c r="F39" s="10">
        <f t="shared" si="3"/>
        <v>2.026192463</v>
      </c>
      <c r="G39" s="11">
        <f t="shared" si="4"/>
        <v>64.06</v>
      </c>
      <c r="H39" s="10">
        <f t="shared" si="5"/>
        <v>30.635</v>
      </c>
      <c r="I39" s="10">
        <f t="shared" si="6"/>
        <v>10.07</v>
      </c>
      <c r="J39" s="12">
        <f t="shared" si="7"/>
        <v>15.72</v>
      </c>
      <c r="K39" s="13">
        <f t="shared" si="8"/>
        <v>0.877</v>
      </c>
      <c r="L39" s="10">
        <f t="shared" si="9"/>
        <v>0.188</v>
      </c>
      <c r="M39" s="10">
        <f t="shared" si="10"/>
        <v>0.06179406232</v>
      </c>
      <c r="N39" s="14">
        <f t="shared" si="11"/>
        <v>7.05</v>
      </c>
      <c r="O39" s="9">
        <f t="shared" si="12"/>
        <v>91</v>
      </c>
      <c r="P39" s="9">
        <f t="shared" si="13"/>
        <v>41.76</v>
      </c>
    </row>
    <row r="40">
      <c r="A40" s="8">
        <v>39.0</v>
      </c>
      <c r="B40" s="8">
        <v>0.001</v>
      </c>
      <c r="C40" s="8">
        <v>0.127</v>
      </c>
      <c r="D40" s="9">
        <f t="shared" si="1"/>
        <v>35.68</v>
      </c>
      <c r="E40" s="9">
        <f t="shared" si="2"/>
        <v>0.78</v>
      </c>
      <c r="F40" s="10">
        <f t="shared" si="3"/>
        <v>2.024394164</v>
      </c>
      <c r="G40" s="11">
        <f t="shared" si="4"/>
        <v>63.33</v>
      </c>
      <c r="H40" s="10">
        <f t="shared" si="5"/>
        <v>30.569</v>
      </c>
      <c r="I40" s="10">
        <f t="shared" si="6"/>
        <v>9.91</v>
      </c>
      <c r="J40" s="12">
        <f t="shared" si="7"/>
        <v>15.648</v>
      </c>
      <c r="K40" s="13">
        <f t="shared" si="8"/>
        <v>0.874</v>
      </c>
      <c r="L40" s="10">
        <f t="shared" si="9"/>
        <v>0.186</v>
      </c>
      <c r="M40" s="10">
        <f t="shared" si="10"/>
        <v>0.06029422501</v>
      </c>
      <c r="N40" s="14">
        <f t="shared" si="11"/>
        <v>6.9</v>
      </c>
      <c r="O40" s="9">
        <f t="shared" si="12"/>
        <v>91</v>
      </c>
      <c r="P40" s="9">
        <f t="shared" si="13"/>
        <v>42.86</v>
      </c>
    </row>
    <row r="41">
      <c r="A41" s="8">
        <v>40.0</v>
      </c>
      <c r="B41" s="15">
        <v>9.485E-4</v>
      </c>
      <c r="C41" s="8">
        <v>0.112</v>
      </c>
      <c r="D41" s="9">
        <f t="shared" si="1"/>
        <v>34.75</v>
      </c>
      <c r="E41" s="16">
        <f t="shared" si="2"/>
        <v>0.95</v>
      </c>
      <c r="F41" s="10">
        <f t="shared" si="3"/>
        <v>2.02269092</v>
      </c>
      <c r="G41" s="11">
        <f t="shared" si="4"/>
        <v>62.62</v>
      </c>
      <c r="H41" s="10">
        <f t="shared" si="5"/>
        <v>30.511</v>
      </c>
      <c r="I41" s="10">
        <f t="shared" si="6"/>
        <v>9.76</v>
      </c>
      <c r="J41" s="12">
        <f t="shared" si="7"/>
        <v>15.586</v>
      </c>
      <c r="K41" s="13">
        <f t="shared" si="8"/>
        <v>0.876</v>
      </c>
      <c r="L41" s="10">
        <f t="shared" si="9"/>
        <v>0.184</v>
      </c>
      <c r="M41" s="10">
        <f t="shared" si="10"/>
        <v>0.05884605485</v>
      </c>
      <c r="N41" s="14">
        <f t="shared" si="11"/>
        <v>6.72</v>
      </c>
      <c r="O41" s="9">
        <f t="shared" si="12"/>
        <v>91</v>
      </c>
      <c r="P41" s="9">
        <f t="shared" si="13"/>
        <v>43.96</v>
      </c>
    </row>
    <row r="42">
      <c r="A42" s="8">
        <v>41.0</v>
      </c>
      <c r="B42" s="8">
        <v>0.002</v>
      </c>
      <c r="C42" s="8">
        <v>0.177</v>
      </c>
      <c r="D42" s="9">
        <f t="shared" si="1"/>
        <v>50.46</v>
      </c>
      <c r="E42" s="9">
        <f t="shared" si="2"/>
        <v>0.8</v>
      </c>
      <c r="F42" s="10">
        <f t="shared" si="3"/>
        <v>2.02107539</v>
      </c>
      <c r="G42" s="11">
        <f t="shared" si="4"/>
        <v>62.32</v>
      </c>
      <c r="H42" s="10">
        <f t="shared" si="5"/>
        <v>30.187</v>
      </c>
      <c r="I42" s="10">
        <f t="shared" si="6"/>
        <v>9.53</v>
      </c>
      <c r="J42" s="12">
        <f t="shared" si="7"/>
        <v>15.292</v>
      </c>
      <c r="K42" s="13">
        <f t="shared" si="8"/>
        <v>0.874</v>
      </c>
      <c r="L42" s="10">
        <f t="shared" si="9"/>
        <v>0.182</v>
      </c>
      <c r="M42" s="10">
        <f t="shared" si="10"/>
        <v>0.05744628831</v>
      </c>
      <c r="N42" s="14">
        <f t="shared" si="11"/>
        <v>6.57</v>
      </c>
      <c r="O42" s="9">
        <f t="shared" si="12"/>
        <v>91</v>
      </c>
      <c r="P42" s="9">
        <f t="shared" si="13"/>
        <v>45.05</v>
      </c>
    </row>
    <row r="43">
      <c r="A43" s="8">
        <v>42.0</v>
      </c>
      <c r="B43" s="8">
        <v>0.001</v>
      </c>
      <c r="C43" s="8">
        <v>0.157</v>
      </c>
      <c r="D43" s="9">
        <f t="shared" si="1"/>
        <v>35.68</v>
      </c>
      <c r="E43" s="9">
        <f t="shared" si="2"/>
        <v>0.51</v>
      </c>
      <c r="F43" s="10">
        <f t="shared" si="3"/>
        <v>2.01954097</v>
      </c>
      <c r="G43" s="11">
        <f t="shared" si="4"/>
        <v>61.69</v>
      </c>
      <c r="H43" s="10">
        <f t="shared" si="5"/>
        <v>30.099</v>
      </c>
      <c r="I43" s="10">
        <f t="shared" si="6"/>
        <v>9.38</v>
      </c>
      <c r="J43" s="12">
        <f t="shared" si="7"/>
        <v>15.205</v>
      </c>
      <c r="K43" s="13">
        <f t="shared" si="8"/>
        <v>0.865</v>
      </c>
      <c r="L43" s="10">
        <f t="shared" si="9"/>
        <v>0.189</v>
      </c>
      <c r="M43" s="10">
        <f t="shared" si="10"/>
        <v>0.05889654612</v>
      </c>
      <c r="N43" s="14">
        <f t="shared" si="11"/>
        <v>6.81</v>
      </c>
      <c r="O43" s="9">
        <f t="shared" si="12"/>
        <v>91</v>
      </c>
      <c r="P43" s="9">
        <f t="shared" si="13"/>
        <v>46.15</v>
      </c>
    </row>
    <row r="44">
      <c r="A44" s="8">
        <v>43.0</v>
      </c>
      <c r="B44" s="15">
        <v>7.639E-5</v>
      </c>
      <c r="C44" s="8">
        <v>0.037</v>
      </c>
      <c r="D44" s="9">
        <f t="shared" si="1"/>
        <v>9.86</v>
      </c>
      <c r="E44" s="16">
        <f t="shared" si="2"/>
        <v>0.7</v>
      </c>
      <c r="F44" s="10">
        <f t="shared" si="3"/>
        <v>2.018081703</v>
      </c>
      <c r="G44" s="11">
        <f t="shared" si="4"/>
        <v>60.48</v>
      </c>
      <c r="H44" s="10">
        <f t="shared" si="5"/>
        <v>30.771</v>
      </c>
      <c r="I44" s="10">
        <f t="shared" si="6"/>
        <v>9.47</v>
      </c>
      <c r="J44" s="12">
        <f t="shared" si="7"/>
        <v>15.658</v>
      </c>
      <c r="K44" s="13">
        <f t="shared" si="8"/>
        <v>0.862</v>
      </c>
      <c r="L44" s="10">
        <f t="shared" si="9"/>
        <v>0.188</v>
      </c>
      <c r="M44" s="10">
        <f t="shared" si="10"/>
        <v>0.05785786</v>
      </c>
      <c r="N44" s="14">
        <f t="shared" si="11"/>
        <v>6.71</v>
      </c>
      <c r="O44" s="9">
        <f t="shared" si="12"/>
        <v>91</v>
      </c>
      <c r="P44" s="9">
        <f t="shared" si="13"/>
        <v>47.25</v>
      </c>
    </row>
    <row r="45">
      <c r="A45" s="8">
        <v>44.0</v>
      </c>
      <c r="B45" s="8">
        <v>0.003</v>
      </c>
      <c r="C45" s="8">
        <v>0.188</v>
      </c>
      <c r="D45" s="9">
        <f t="shared" si="1"/>
        <v>61.8</v>
      </c>
      <c r="E45" s="9">
        <f t="shared" si="2"/>
        <v>1.07</v>
      </c>
      <c r="F45" s="10">
        <f t="shared" si="3"/>
        <v>2.016692199</v>
      </c>
      <c r="G45" s="11">
        <f t="shared" si="4"/>
        <v>60.51</v>
      </c>
      <c r="H45" s="10">
        <f t="shared" si="5"/>
        <v>30.412</v>
      </c>
      <c r="I45" s="10">
        <f t="shared" si="6"/>
        <v>9.25</v>
      </c>
      <c r="J45" s="12">
        <f t="shared" si="7"/>
        <v>15.287</v>
      </c>
      <c r="K45" s="13">
        <f t="shared" si="8"/>
        <v>0.866</v>
      </c>
      <c r="L45" s="10">
        <f t="shared" si="9"/>
        <v>0.189</v>
      </c>
      <c r="M45" s="10">
        <f t="shared" si="10"/>
        <v>0.05746125199</v>
      </c>
      <c r="N45" s="14">
        <f t="shared" si="11"/>
        <v>6.64</v>
      </c>
      <c r="O45" s="9">
        <f t="shared" si="12"/>
        <v>91</v>
      </c>
      <c r="P45" s="9">
        <f t="shared" si="13"/>
        <v>48.35</v>
      </c>
    </row>
    <row r="46">
      <c r="A46" s="8">
        <v>45.0</v>
      </c>
      <c r="B46" s="8">
        <v>0.003</v>
      </c>
      <c r="C46" s="8">
        <v>0.265</v>
      </c>
      <c r="D46" s="9">
        <f t="shared" si="1"/>
        <v>61.8</v>
      </c>
      <c r="E46" s="9">
        <f t="shared" si="2"/>
        <v>0.54</v>
      </c>
      <c r="F46" s="10">
        <f t="shared" si="3"/>
        <v>2.015367574</v>
      </c>
      <c r="G46" s="11">
        <f t="shared" si="4"/>
        <v>60.54</v>
      </c>
      <c r="H46" s="10">
        <f t="shared" si="5"/>
        <v>30.065</v>
      </c>
      <c r="I46" s="10">
        <f t="shared" si="6"/>
        <v>9.03</v>
      </c>
      <c r="J46" s="12">
        <f t="shared" si="7"/>
        <v>14.916</v>
      </c>
      <c r="K46" s="13">
        <f t="shared" si="8"/>
        <v>0.859</v>
      </c>
      <c r="L46" s="10">
        <f t="shared" si="9"/>
        <v>0.193</v>
      </c>
      <c r="M46" s="10">
        <f t="shared" si="10"/>
        <v>0.05798361913</v>
      </c>
      <c r="N46" s="14">
        <f t="shared" si="11"/>
        <v>6.75</v>
      </c>
      <c r="O46" s="9">
        <f t="shared" si="12"/>
        <v>91</v>
      </c>
      <c r="P46" s="9">
        <f t="shared" si="13"/>
        <v>49.45</v>
      </c>
    </row>
    <row r="47">
      <c r="A47" s="8">
        <v>46.0</v>
      </c>
      <c r="B47" s="8">
        <v>0.003</v>
      </c>
      <c r="C47" s="8">
        <v>0.215</v>
      </c>
      <c r="D47" s="9">
        <f t="shared" si="1"/>
        <v>61.8</v>
      </c>
      <c r="E47" s="9">
        <f t="shared" si="2"/>
        <v>0.82</v>
      </c>
      <c r="F47" s="10">
        <f t="shared" si="3"/>
        <v>2.014103389</v>
      </c>
      <c r="G47" s="11">
        <f t="shared" si="4"/>
        <v>60.57</v>
      </c>
      <c r="H47" s="10">
        <f t="shared" si="5"/>
        <v>29.729</v>
      </c>
      <c r="I47" s="10">
        <f t="shared" si="6"/>
        <v>8.83</v>
      </c>
      <c r="J47" s="12">
        <f t="shared" si="7"/>
        <v>14.578</v>
      </c>
      <c r="K47" s="13">
        <f t="shared" si="8"/>
        <v>0.858</v>
      </c>
      <c r="L47" s="10">
        <f t="shared" si="9"/>
        <v>0.191</v>
      </c>
      <c r="M47" s="10">
        <f t="shared" si="10"/>
        <v>0.05671999862</v>
      </c>
      <c r="N47" s="14">
        <f t="shared" si="11"/>
        <v>6.61</v>
      </c>
      <c r="O47" s="9">
        <f t="shared" si="12"/>
        <v>91</v>
      </c>
      <c r="P47" s="9">
        <f t="shared" si="13"/>
        <v>50.55</v>
      </c>
    </row>
    <row r="48">
      <c r="A48" s="8">
        <v>47.0</v>
      </c>
      <c r="B48" s="8">
        <v>0.002</v>
      </c>
      <c r="C48" s="8">
        <v>0.163</v>
      </c>
      <c r="D48" s="9">
        <f t="shared" si="1"/>
        <v>50.46</v>
      </c>
      <c r="E48" s="9">
        <f t="shared" si="2"/>
        <v>0.95</v>
      </c>
      <c r="F48" s="10">
        <f t="shared" si="3"/>
        <v>2.012895599</v>
      </c>
      <c r="G48" s="11">
        <f t="shared" si="4"/>
        <v>60.35</v>
      </c>
      <c r="H48" s="10">
        <f t="shared" si="5"/>
        <v>29.441</v>
      </c>
      <c r="I48" s="10">
        <f t="shared" si="6"/>
        <v>8.64</v>
      </c>
      <c r="J48" s="12">
        <f t="shared" si="7"/>
        <v>14.316</v>
      </c>
      <c r="K48" s="13">
        <f t="shared" si="8"/>
        <v>0.86</v>
      </c>
      <c r="L48" s="10">
        <f t="shared" si="9"/>
        <v>0.189</v>
      </c>
      <c r="M48" s="10">
        <f t="shared" si="10"/>
        <v>0.05549247889</v>
      </c>
      <c r="N48" s="14">
        <f t="shared" si="11"/>
        <v>6.45</v>
      </c>
      <c r="O48" s="9">
        <f t="shared" si="12"/>
        <v>91</v>
      </c>
      <c r="P48" s="9">
        <f t="shared" si="13"/>
        <v>51.65</v>
      </c>
    </row>
    <row r="49">
      <c r="A49" s="8">
        <v>48.0</v>
      </c>
      <c r="B49" s="8">
        <v>0.002</v>
      </c>
      <c r="C49" s="8">
        <v>0.172</v>
      </c>
      <c r="D49" s="9">
        <f t="shared" si="1"/>
        <v>50.46</v>
      </c>
      <c r="E49" s="9">
        <f t="shared" si="2"/>
        <v>0.85</v>
      </c>
      <c r="F49" s="10">
        <f t="shared" si="3"/>
        <v>2.011740514</v>
      </c>
      <c r="G49" s="11">
        <f t="shared" si="4"/>
        <v>60.15</v>
      </c>
      <c r="H49" s="10">
        <f t="shared" si="5"/>
        <v>29.161</v>
      </c>
      <c r="I49" s="10">
        <f t="shared" si="6"/>
        <v>8.47</v>
      </c>
      <c r="J49" s="12">
        <f t="shared" si="7"/>
        <v>14.081</v>
      </c>
      <c r="K49" s="13">
        <f t="shared" si="8"/>
        <v>0.86</v>
      </c>
      <c r="L49" s="10">
        <f t="shared" si="9"/>
        <v>0.187</v>
      </c>
      <c r="M49" s="10">
        <f t="shared" si="10"/>
        <v>0.05429913984</v>
      </c>
      <c r="N49" s="14">
        <f t="shared" si="11"/>
        <v>6.31</v>
      </c>
      <c r="O49" s="9">
        <f t="shared" si="12"/>
        <v>91</v>
      </c>
      <c r="P49" s="9">
        <f t="shared" si="13"/>
        <v>52.75</v>
      </c>
    </row>
    <row r="50">
      <c r="A50" s="8">
        <v>49.0</v>
      </c>
      <c r="B50" s="8">
        <v>0.002</v>
      </c>
      <c r="C50" s="8">
        <v>0.145</v>
      </c>
      <c r="D50" s="9">
        <f t="shared" si="1"/>
        <v>50.46</v>
      </c>
      <c r="E50" s="9">
        <f t="shared" si="2"/>
        <v>1.2</v>
      </c>
      <c r="F50" s="10">
        <f t="shared" si="3"/>
        <v>2.010634758</v>
      </c>
      <c r="G50" s="11">
        <f t="shared" si="4"/>
        <v>59.95</v>
      </c>
      <c r="H50" s="10">
        <f t="shared" si="5"/>
        <v>28.889</v>
      </c>
      <c r="I50" s="10">
        <f t="shared" si="6"/>
        <v>8.3</v>
      </c>
      <c r="J50" s="12">
        <f t="shared" si="7"/>
        <v>13.845</v>
      </c>
      <c r="K50" s="13">
        <f t="shared" si="8"/>
        <v>0.867</v>
      </c>
      <c r="L50" s="10">
        <f t="shared" si="9"/>
        <v>0.191</v>
      </c>
      <c r="M50" s="10">
        <f t="shared" si="10"/>
        <v>0.05486160553</v>
      </c>
      <c r="N50" s="14">
        <f t="shared" si="11"/>
        <v>6.33</v>
      </c>
      <c r="O50" s="9">
        <f t="shared" si="12"/>
        <v>91</v>
      </c>
      <c r="P50" s="9">
        <f t="shared" si="13"/>
        <v>53.85</v>
      </c>
    </row>
    <row r="51">
      <c r="A51" s="8">
        <v>50.0</v>
      </c>
      <c r="B51" s="8">
        <v>0.003</v>
      </c>
      <c r="C51" s="8">
        <v>0.211</v>
      </c>
      <c r="D51" s="9">
        <f t="shared" si="1"/>
        <v>61.8</v>
      </c>
      <c r="E51" s="9">
        <f t="shared" si="2"/>
        <v>0.85</v>
      </c>
      <c r="F51" s="10">
        <f t="shared" si="3"/>
        <v>2.009575237</v>
      </c>
      <c r="G51" s="11">
        <f t="shared" si="4"/>
        <v>59.99</v>
      </c>
      <c r="H51" s="10">
        <f t="shared" si="5"/>
        <v>28.594</v>
      </c>
      <c r="I51" s="10">
        <f t="shared" si="6"/>
        <v>8.13</v>
      </c>
      <c r="J51" s="12">
        <f t="shared" si="7"/>
        <v>13.552</v>
      </c>
      <c r="K51" s="13">
        <f t="shared" si="8"/>
        <v>0.867</v>
      </c>
      <c r="L51" s="10">
        <f t="shared" si="9"/>
        <v>0.189</v>
      </c>
      <c r="M51" s="10">
        <f t="shared" si="10"/>
        <v>0.05371320569</v>
      </c>
      <c r="N51" s="14">
        <f t="shared" si="11"/>
        <v>6.2</v>
      </c>
      <c r="O51" s="9">
        <f t="shared" si="12"/>
        <v>91</v>
      </c>
      <c r="P51" s="9">
        <f t="shared" si="13"/>
        <v>54.95</v>
      </c>
    </row>
    <row r="52">
      <c r="A52" s="8">
        <v>51.0</v>
      </c>
      <c r="B52" s="8">
        <v>0.005</v>
      </c>
      <c r="C52" s="8">
        <v>0.297</v>
      </c>
      <c r="D52" s="9">
        <f t="shared" si="1"/>
        <v>79.79</v>
      </c>
      <c r="E52" s="9">
        <f t="shared" si="2"/>
        <v>0.71</v>
      </c>
      <c r="F52" s="10">
        <f t="shared" si="3"/>
        <v>2.008559112</v>
      </c>
      <c r="G52" s="11">
        <f t="shared" si="4"/>
        <v>60.37</v>
      </c>
      <c r="H52" s="10">
        <f t="shared" si="5"/>
        <v>28.442</v>
      </c>
      <c r="I52" s="10">
        <f t="shared" si="6"/>
        <v>8</v>
      </c>
      <c r="J52" s="12">
        <f t="shared" si="7"/>
        <v>13.252</v>
      </c>
      <c r="K52" s="13">
        <f t="shared" si="8"/>
        <v>0.864</v>
      </c>
      <c r="L52" s="10">
        <f t="shared" si="9"/>
        <v>0.189</v>
      </c>
      <c r="M52" s="10">
        <f t="shared" si="10"/>
        <v>0.05315710659</v>
      </c>
      <c r="N52" s="14">
        <f t="shared" si="11"/>
        <v>6.15</v>
      </c>
      <c r="O52" s="9">
        <f t="shared" si="12"/>
        <v>91</v>
      </c>
      <c r="P52" s="9">
        <f t="shared" si="13"/>
        <v>56.04</v>
      </c>
    </row>
    <row r="53">
      <c r="A53" s="8">
        <v>52.0</v>
      </c>
      <c r="B53" s="8">
        <v>0.001</v>
      </c>
      <c r="C53" s="8">
        <v>0.129</v>
      </c>
      <c r="D53" s="9">
        <f t="shared" si="1"/>
        <v>35.68</v>
      </c>
      <c r="E53" s="9">
        <f t="shared" si="2"/>
        <v>0.76</v>
      </c>
      <c r="F53" s="10">
        <f t="shared" si="3"/>
        <v>2.00758377</v>
      </c>
      <c r="G53" s="11">
        <f t="shared" si="4"/>
        <v>59.9</v>
      </c>
      <c r="H53" s="10">
        <f t="shared" si="5"/>
        <v>28.369</v>
      </c>
      <c r="I53" s="10">
        <f t="shared" si="6"/>
        <v>7.9</v>
      </c>
      <c r="J53" s="12">
        <f t="shared" si="7"/>
        <v>13.189</v>
      </c>
      <c r="K53" s="13">
        <f t="shared" si="8"/>
        <v>0.862</v>
      </c>
      <c r="L53" s="10">
        <f t="shared" si="9"/>
        <v>0.187</v>
      </c>
      <c r="M53" s="10">
        <f t="shared" si="10"/>
        <v>0.05206113245</v>
      </c>
      <c r="N53" s="14">
        <f t="shared" si="11"/>
        <v>6.04</v>
      </c>
      <c r="O53" s="9">
        <f t="shared" si="12"/>
        <v>91</v>
      </c>
      <c r="P53" s="9">
        <f t="shared" si="13"/>
        <v>57.14</v>
      </c>
    </row>
    <row r="54">
      <c r="A54" s="8">
        <v>53.0</v>
      </c>
      <c r="B54" s="8">
        <v>0.003</v>
      </c>
      <c r="C54" s="8">
        <v>0.199</v>
      </c>
      <c r="D54" s="9">
        <f t="shared" si="1"/>
        <v>61.8</v>
      </c>
      <c r="E54" s="9">
        <f t="shared" si="2"/>
        <v>0.95</v>
      </c>
      <c r="F54" s="10">
        <f t="shared" si="3"/>
        <v>2.006646805</v>
      </c>
      <c r="G54" s="11">
        <f t="shared" si="4"/>
        <v>59.94</v>
      </c>
      <c r="H54" s="10">
        <f t="shared" si="5"/>
        <v>28.097</v>
      </c>
      <c r="I54" s="10">
        <f t="shared" si="6"/>
        <v>7.74</v>
      </c>
      <c r="J54" s="12">
        <f t="shared" si="7"/>
        <v>12.913</v>
      </c>
      <c r="K54" s="13">
        <f t="shared" si="8"/>
        <v>0.863</v>
      </c>
      <c r="L54" s="10">
        <f t="shared" si="9"/>
        <v>0.186</v>
      </c>
      <c r="M54" s="10">
        <f t="shared" si="10"/>
        <v>0.05126794944</v>
      </c>
      <c r="N54" s="14">
        <f t="shared" si="11"/>
        <v>5.94</v>
      </c>
      <c r="O54" s="9">
        <f t="shared" si="12"/>
        <v>91</v>
      </c>
      <c r="P54" s="9">
        <f t="shared" si="13"/>
        <v>58.24</v>
      </c>
    </row>
    <row r="55">
      <c r="A55" s="8">
        <v>54.0</v>
      </c>
      <c r="B55" s="8">
        <v>0.003</v>
      </c>
      <c r="C55" s="8">
        <v>0.196</v>
      </c>
      <c r="D55" s="9">
        <f t="shared" si="1"/>
        <v>61.8</v>
      </c>
      <c r="E55" s="9">
        <f t="shared" si="2"/>
        <v>0.98</v>
      </c>
      <c r="F55" s="10">
        <f t="shared" si="3"/>
        <v>2.005745995</v>
      </c>
      <c r="G55" s="11">
        <f t="shared" si="4"/>
        <v>59.97</v>
      </c>
      <c r="H55" s="10">
        <f t="shared" si="5"/>
        <v>27.831</v>
      </c>
      <c r="I55" s="10">
        <f t="shared" si="6"/>
        <v>7.6</v>
      </c>
      <c r="J55" s="12">
        <f t="shared" si="7"/>
        <v>12.673</v>
      </c>
      <c r="K55" s="13">
        <f t="shared" si="8"/>
        <v>0.865</v>
      </c>
      <c r="L55" s="10">
        <f t="shared" si="9"/>
        <v>0.185</v>
      </c>
      <c r="M55" s="10">
        <f t="shared" si="10"/>
        <v>0.05049527971</v>
      </c>
      <c r="N55" s="14">
        <f t="shared" si="11"/>
        <v>5.84</v>
      </c>
      <c r="O55" s="9">
        <f t="shared" si="12"/>
        <v>91</v>
      </c>
      <c r="P55" s="9">
        <f t="shared" si="13"/>
        <v>59.34</v>
      </c>
    </row>
    <row r="56">
      <c r="A56" s="8">
        <v>55.0</v>
      </c>
      <c r="B56" s="8">
        <v>0.003</v>
      </c>
      <c r="C56" s="8">
        <v>0.2</v>
      </c>
      <c r="D56" s="9">
        <f t="shared" si="1"/>
        <v>61.8</v>
      </c>
      <c r="E56" s="9">
        <f t="shared" si="2"/>
        <v>0.94</v>
      </c>
      <c r="F56" s="10">
        <f t="shared" si="3"/>
        <v>2.004879288</v>
      </c>
      <c r="G56" s="11">
        <f t="shared" si="4"/>
        <v>60</v>
      </c>
      <c r="H56" s="10">
        <f t="shared" si="5"/>
        <v>27.574</v>
      </c>
      <c r="I56" s="10">
        <f t="shared" si="6"/>
        <v>7.45</v>
      </c>
      <c r="J56" s="12">
        <f t="shared" si="7"/>
        <v>12.417</v>
      </c>
      <c r="K56" s="13">
        <f t="shared" si="8"/>
        <v>0.867</v>
      </c>
      <c r="L56" s="10">
        <f t="shared" si="9"/>
        <v>0.184</v>
      </c>
      <c r="M56" s="10">
        <f t="shared" si="10"/>
        <v>0.04974216772</v>
      </c>
      <c r="N56" s="14">
        <f t="shared" si="11"/>
        <v>5.74</v>
      </c>
      <c r="O56" s="9">
        <f t="shared" si="12"/>
        <v>91</v>
      </c>
      <c r="P56" s="9">
        <f t="shared" si="13"/>
        <v>60.44</v>
      </c>
    </row>
    <row r="57">
      <c r="A57" s="8">
        <v>56.0</v>
      </c>
      <c r="B57" s="8">
        <v>0.038</v>
      </c>
      <c r="C57" s="8">
        <v>0.856</v>
      </c>
      <c r="D57" s="9">
        <f t="shared" si="1"/>
        <v>219.96</v>
      </c>
      <c r="E57" s="9">
        <f t="shared" si="2"/>
        <v>0.65</v>
      </c>
      <c r="F57" s="10">
        <f t="shared" si="3"/>
        <v>2.004044783</v>
      </c>
      <c r="G57" s="11">
        <f t="shared" si="4"/>
        <v>62.86</v>
      </c>
      <c r="H57" s="10">
        <f t="shared" si="5"/>
        <v>34.69</v>
      </c>
      <c r="I57" s="10">
        <f t="shared" si="6"/>
        <v>9.29</v>
      </c>
      <c r="J57" s="12">
        <f t="shared" si="7"/>
        <v>14.779</v>
      </c>
      <c r="K57" s="13">
        <f t="shared" si="8"/>
        <v>0.863</v>
      </c>
      <c r="L57" s="10">
        <f t="shared" si="9"/>
        <v>0.184</v>
      </c>
      <c r="M57" s="10">
        <f t="shared" si="10"/>
        <v>0.04927552178</v>
      </c>
      <c r="N57" s="14">
        <f t="shared" si="11"/>
        <v>5.71</v>
      </c>
      <c r="O57" s="9">
        <f t="shared" si="12"/>
        <v>91</v>
      </c>
      <c r="P57" s="9">
        <f t="shared" si="13"/>
        <v>61.54</v>
      </c>
    </row>
    <row r="58">
      <c r="A58" s="8">
        <v>57.0</v>
      </c>
      <c r="B58" s="8">
        <v>0.003</v>
      </c>
      <c r="C58" s="8">
        <v>0.193</v>
      </c>
      <c r="D58" s="9">
        <f t="shared" si="1"/>
        <v>61.8</v>
      </c>
      <c r="E58" s="9">
        <f t="shared" si="2"/>
        <v>1.01</v>
      </c>
      <c r="F58" s="10">
        <f t="shared" si="3"/>
        <v>2.003240719</v>
      </c>
      <c r="G58" s="11">
        <f t="shared" si="4"/>
        <v>62.84</v>
      </c>
      <c r="H58" s="10">
        <f t="shared" si="5"/>
        <v>34.379</v>
      </c>
      <c r="I58" s="10">
        <f t="shared" si="6"/>
        <v>9.12</v>
      </c>
      <c r="J58" s="12">
        <f t="shared" si="7"/>
        <v>14.513</v>
      </c>
      <c r="K58" s="13">
        <f t="shared" si="8"/>
        <v>0.865</v>
      </c>
      <c r="L58" s="10">
        <f t="shared" si="9"/>
        <v>0.184</v>
      </c>
      <c r="M58" s="10">
        <f t="shared" si="10"/>
        <v>0.04882177158</v>
      </c>
      <c r="N58" s="14">
        <f t="shared" si="11"/>
        <v>5.64</v>
      </c>
      <c r="O58" s="9">
        <f t="shared" si="12"/>
        <v>91</v>
      </c>
      <c r="P58" s="9">
        <f t="shared" si="13"/>
        <v>62.64</v>
      </c>
    </row>
    <row r="59">
      <c r="A59" s="8">
        <v>58.0</v>
      </c>
      <c r="B59" s="8">
        <v>0.003</v>
      </c>
      <c r="C59" s="8">
        <v>0.214</v>
      </c>
      <c r="D59" s="9">
        <f t="shared" si="1"/>
        <v>61.8</v>
      </c>
      <c r="E59" s="9">
        <f t="shared" si="2"/>
        <v>0.82</v>
      </c>
      <c r="F59" s="10">
        <f t="shared" si="3"/>
        <v>2.002465459</v>
      </c>
      <c r="G59" s="11">
        <f t="shared" si="4"/>
        <v>62.82</v>
      </c>
      <c r="H59" s="10">
        <f t="shared" si="5"/>
        <v>34.076</v>
      </c>
      <c r="I59" s="10">
        <f t="shared" si="6"/>
        <v>8.96</v>
      </c>
      <c r="J59" s="12">
        <f t="shared" si="7"/>
        <v>14.263</v>
      </c>
      <c r="K59" s="13">
        <f t="shared" si="8"/>
        <v>0.865</v>
      </c>
      <c r="L59" s="10">
        <f t="shared" si="9"/>
        <v>0.182</v>
      </c>
      <c r="M59" s="10">
        <f t="shared" si="10"/>
        <v>0.04785446054</v>
      </c>
      <c r="N59" s="14">
        <f t="shared" si="11"/>
        <v>5.53</v>
      </c>
      <c r="O59" s="9">
        <f t="shared" si="12"/>
        <v>91</v>
      </c>
      <c r="P59" s="9">
        <f t="shared" si="13"/>
        <v>63.74</v>
      </c>
    </row>
    <row r="60">
      <c r="A60" s="8">
        <v>59.0</v>
      </c>
      <c r="B60" s="8">
        <v>0.004</v>
      </c>
      <c r="C60" s="8">
        <v>0.235</v>
      </c>
      <c r="D60" s="9">
        <f t="shared" si="1"/>
        <v>71.36</v>
      </c>
      <c r="E60" s="9">
        <f t="shared" si="2"/>
        <v>0.91</v>
      </c>
      <c r="F60" s="10">
        <f t="shared" si="3"/>
        <v>2.001717484</v>
      </c>
      <c r="G60" s="11">
        <f t="shared" si="4"/>
        <v>62.97</v>
      </c>
      <c r="H60" s="10">
        <f t="shared" si="5"/>
        <v>33.799</v>
      </c>
      <c r="I60" s="10">
        <f t="shared" si="6"/>
        <v>8.81</v>
      </c>
      <c r="J60" s="12">
        <f t="shared" si="7"/>
        <v>13.991</v>
      </c>
      <c r="K60" s="13">
        <f t="shared" si="8"/>
        <v>0.865</v>
      </c>
      <c r="L60" s="10">
        <f t="shared" si="9"/>
        <v>0.181</v>
      </c>
      <c r="M60" s="10">
        <f t="shared" si="10"/>
        <v>0.0471688569</v>
      </c>
      <c r="N60" s="14">
        <f t="shared" si="11"/>
        <v>5.45</v>
      </c>
      <c r="O60" s="9">
        <f t="shared" si="12"/>
        <v>91</v>
      </c>
      <c r="P60" s="9">
        <f t="shared" si="13"/>
        <v>64.84</v>
      </c>
    </row>
    <row r="61">
      <c r="A61" s="8">
        <v>60.0</v>
      </c>
      <c r="B61" s="8">
        <v>0.002</v>
      </c>
      <c r="C61" s="8">
        <v>0.155</v>
      </c>
      <c r="D61" s="9">
        <f t="shared" si="1"/>
        <v>50.46</v>
      </c>
      <c r="E61" s="9">
        <f t="shared" si="2"/>
        <v>1.05</v>
      </c>
      <c r="F61" s="10">
        <f t="shared" si="3"/>
        <v>2.000995378</v>
      </c>
      <c r="G61" s="11">
        <f t="shared" si="4"/>
        <v>62.76</v>
      </c>
      <c r="H61" s="10">
        <f t="shared" si="5"/>
        <v>33.551</v>
      </c>
      <c r="I61" s="10">
        <f t="shared" si="6"/>
        <v>8.67</v>
      </c>
      <c r="J61" s="12">
        <f t="shared" si="7"/>
        <v>13.815</v>
      </c>
      <c r="K61" s="13">
        <f t="shared" si="8"/>
        <v>0.869</v>
      </c>
      <c r="L61" s="10">
        <f t="shared" si="9"/>
        <v>0.181</v>
      </c>
      <c r="M61" s="10">
        <f t="shared" si="10"/>
        <v>0.04675725804</v>
      </c>
      <c r="N61" s="14">
        <f t="shared" si="11"/>
        <v>5.38</v>
      </c>
      <c r="O61" s="9">
        <f t="shared" si="12"/>
        <v>91</v>
      </c>
      <c r="P61" s="9">
        <f t="shared" si="13"/>
        <v>65.93</v>
      </c>
    </row>
    <row r="62">
      <c r="A62" s="8">
        <v>61.0</v>
      </c>
      <c r="B62" s="8">
        <v>0.003</v>
      </c>
      <c r="C62" s="8">
        <v>0.219</v>
      </c>
      <c r="D62" s="9">
        <f t="shared" si="1"/>
        <v>61.8</v>
      </c>
      <c r="E62" s="9">
        <f t="shared" si="2"/>
        <v>0.79</v>
      </c>
      <c r="F62" s="10">
        <f t="shared" si="3"/>
        <v>2.000297822</v>
      </c>
      <c r="G62" s="11">
        <f t="shared" si="4"/>
        <v>62.74</v>
      </c>
      <c r="H62" s="10">
        <f t="shared" si="5"/>
        <v>33.27</v>
      </c>
      <c r="I62" s="10">
        <f t="shared" si="6"/>
        <v>8.52</v>
      </c>
      <c r="J62" s="12">
        <f t="shared" si="7"/>
        <v>13.58</v>
      </c>
      <c r="K62" s="13">
        <f t="shared" si="8"/>
        <v>0.867</v>
      </c>
      <c r="L62" s="10">
        <f t="shared" si="9"/>
        <v>0.179</v>
      </c>
      <c r="M62" s="10">
        <f t="shared" si="10"/>
        <v>0.04584402868</v>
      </c>
      <c r="N62" s="14">
        <f t="shared" si="11"/>
        <v>5.29</v>
      </c>
      <c r="O62" s="9">
        <f t="shared" si="12"/>
        <v>91</v>
      </c>
      <c r="P62" s="9">
        <f t="shared" si="13"/>
        <v>67.03</v>
      </c>
    </row>
    <row r="63">
      <c r="A63" s="8">
        <v>62.0</v>
      </c>
      <c r="B63" s="8">
        <v>0.015</v>
      </c>
      <c r="C63" s="8">
        <v>0.546</v>
      </c>
      <c r="D63" s="9">
        <f t="shared" si="1"/>
        <v>138.2</v>
      </c>
      <c r="E63" s="9">
        <f t="shared" si="2"/>
        <v>0.63</v>
      </c>
      <c r="F63" s="10">
        <f t="shared" si="3"/>
        <v>1.999623585</v>
      </c>
      <c r="G63" s="11">
        <f t="shared" si="4"/>
        <v>63.96</v>
      </c>
      <c r="H63" s="10">
        <f t="shared" si="5"/>
        <v>34.36</v>
      </c>
      <c r="I63" s="10">
        <f t="shared" si="6"/>
        <v>8.73</v>
      </c>
      <c r="J63" s="12">
        <f t="shared" si="7"/>
        <v>13.649</v>
      </c>
      <c r="K63" s="13">
        <f t="shared" si="8"/>
        <v>0.863</v>
      </c>
      <c r="L63" s="10">
        <f t="shared" si="9"/>
        <v>0.18</v>
      </c>
      <c r="M63" s="10">
        <f t="shared" si="10"/>
        <v>0.04571144086</v>
      </c>
      <c r="N63" s="14">
        <f t="shared" si="11"/>
        <v>5.3</v>
      </c>
      <c r="O63" s="9">
        <f t="shared" si="12"/>
        <v>91</v>
      </c>
      <c r="P63" s="9">
        <f t="shared" si="13"/>
        <v>68.13</v>
      </c>
    </row>
    <row r="64">
      <c r="A64" s="8">
        <v>63.0</v>
      </c>
      <c r="B64" s="8">
        <v>0.005</v>
      </c>
      <c r="C64" s="8">
        <v>0.307</v>
      </c>
      <c r="D64" s="9">
        <f t="shared" si="1"/>
        <v>79.79</v>
      </c>
      <c r="E64" s="9">
        <f t="shared" si="2"/>
        <v>0.67</v>
      </c>
      <c r="F64" s="10">
        <f t="shared" si="3"/>
        <v>1.998971517</v>
      </c>
      <c r="G64" s="11">
        <f t="shared" si="4"/>
        <v>64.21</v>
      </c>
      <c r="H64" s="10">
        <f t="shared" si="5"/>
        <v>34.14</v>
      </c>
      <c r="I64" s="10">
        <f t="shared" si="6"/>
        <v>8.6</v>
      </c>
      <c r="J64" s="12">
        <f t="shared" si="7"/>
        <v>13.394</v>
      </c>
      <c r="K64" s="13">
        <f t="shared" si="8"/>
        <v>0.86</v>
      </c>
      <c r="L64" s="10">
        <f t="shared" si="9"/>
        <v>0.181</v>
      </c>
      <c r="M64" s="10">
        <f t="shared" si="10"/>
        <v>0.0455842597</v>
      </c>
      <c r="N64" s="14">
        <f t="shared" si="11"/>
        <v>5.3</v>
      </c>
      <c r="O64" s="9">
        <f t="shared" si="12"/>
        <v>91</v>
      </c>
      <c r="P64" s="9">
        <f t="shared" si="13"/>
        <v>69.23</v>
      </c>
    </row>
    <row r="65">
      <c r="A65" s="8">
        <v>64.0</v>
      </c>
      <c r="B65" s="8">
        <v>0.004</v>
      </c>
      <c r="C65" s="8">
        <v>0.281</v>
      </c>
      <c r="D65" s="9">
        <f t="shared" si="1"/>
        <v>71.36</v>
      </c>
      <c r="E65" s="9">
        <f t="shared" si="2"/>
        <v>0.64</v>
      </c>
      <c r="F65" s="10">
        <f t="shared" si="3"/>
        <v>1.998340543</v>
      </c>
      <c r="G65" s="11">
        <f t="shared" si="4"/>
        <v>64.32</v>
      </c>
      <c r="H65" s="10">
        <f t="shared" si="5"/>
        <v>33.88</v>
      </c>
      <c r="I65" s="10">
        <f t="shared" si="6"/>
        <v>8.46</v>
      </c>
      <c r="J65" s="12">
        <f t="shared" si="7"/>
        <v>13.153</v>
      </c>
      <c r="K65" s="13">
        <f t="shared" si="8"/>
        <v>0.857</v>
      </c>
      <c r="L65" s="10">
        <f t="shared" si="9"/>
        <v>0.181</v>
      </c>
      <c r="M65" s="10">
        <f t="shared" si="10"/>
        <v>0.04521245477</v>
      </c>
      <c r="N65" s="14">
        <f t="shared" si="11"/>
        <v>5.28</v>
      </c>
      <c r="O65" s="9">
        <f t="shared" si="12"/>
        <v>91</v>
      </c>
      <c r="P65" s="9">
        <f t="shared" si="13"/>
        <v>70.33</v>
      </c>
    </row>
    <row r="66">
      <c r="A66" s="8">
        <v>65.0</v>
      </c>
      <c r="B66" s="8">
        <v>0.009</v>
      </c>
      <c r="C66" s="8">
        <v>0.432</v>
      </c>
      <c r="D66" s="9">
        <f t="shared" si="1"/>
        <v>107.05</v>
      </c>
      <c r="E66" s="9">
        <f t="shared" si="2"/>
        <v>0.61</v>
      </c>
      <c r="F66" s="10">
        <f t="shared" si="3"/>
        <v>1.997729654</v>
      </c>
      <c r="G66" s="11">
        <f t="shared" si="4"/>
        <v>64.98</v>
      </c>
      <c r="H66" s="10">
        <f t="shared" si="5"/>
        <v>34.029</v>
      </c>
      <c r="I66" s="10">
        <f t="shared" si="6"/>
        <v>8.43</v>
      </c>
      <c r="J66" s="12">
        <f t="shared" si="7"/>
        <v>12.973</v>
      </c>
      <c r="K66" s="13">
        <f t="shared" si="8"/>
        <v>0.853</v>
      </c>
      <c r="L66" s="10">
        <f t="shared" si="9"/>
        <v>0.182</v>
      </c>
      <c r="M66" s="10">
        <f t="shared" si="10"/>
        <v>0.04509739188</v>
      </c>
      <c r="N66" s="14">
        <f t="shared" si="11"/>
        <v>5.29</v>
      </c>
      <c r="O66" s="9">
        <f t="shared" si="12"/>
        <v>91</v>
      </c>
      <c r="P66" s="9">
        <f t="shared" si="13"/>
        <v>71.43</v>
      </c>
    </row>
    <row r="67">
      <c r="A67" s="8">
        <v>66.0</v>
      </c>
      <c r="B67" s="8">
        <v>0.003</v>
      </c>
      <c r="C67" s="8">
        <v>0.188</v>
      </c>
      <c r="D67" s="9">
        <f t="shared" si="1"/>
        <v>61.8</v>
      </c>
      <c r="E67" s="9">
        <f t="shared" si="2"/>
        <v>1.07</v>
      </c>
      <c r="F67" s="10">
        <f t="shared" si="3"/>
        <v>1.997137908</v>
      </c>
      <c r="G67" s="11">
        <f t="shared" si="4"/>
        <v>64.93</v>
      </c>
      <c r="H67" s="10">
        <f t="shared" si="5"/>
        <v>33.769</v>
      </c>
      <c r="I67" s="10">
        <f t="shared" si="6"/>
        <v>8.3</v>
      </c>
      <c r="J67" s="12">
        <f t="shared" si="7"/>
        <v>12.783</v>
      </c>
      <c r="K67" s="13">
        <f t="shared" si="8"/>
        <v>0.856</v>
      </c>
      <c r="L67" s="10">
        <f t="shared" si="9"/>
        <v>0.183</v>
      </c>
      <c r="M67" s="10">
        <f t="shared" si="10"/>
        <v>0.04498701496</v>
      </c>
      <c r="N67" s="14">
        <f t="shared" si="11"/>
        <v>5.26</v>
      </c>
      <c r="O67" s="9">
        <f t="shared" si="12"/>
        <v>91</v>
      </c>
      <c r="P67" s="9">
        <f t="shared" si="13"/>
        <v>72.53</v>
      </c>
    </row>
    <row r="68">
      <c r="A68" s="8">
        <v>67.0</v>
      </c>
      <c r="B68" s="8">
        <v>0.002</v>
      </c>
      <c r="C68" s="8">
        <v>0.157</v>
      </c>
      <c r="D68" s="9">
        <f t="shared" si="1"/>
        <v>50.46</v>
      </c>
      <c r="E68" s="9">
        <f t="shared" si="2"/>
        <v>1.02</v>
      </c>
      <c r="F68" s="10">
        <f t="shared" si="3"/>
        <v>1.996564419</v>
      </c>
      <c r="G68" s="11">
        <f t="shared" si="4"/>
        <v>64.72</v>
      </c>
      <c r="H68" s="10">
        <f t="shared" si="5"/>
        <v>33.558</v>
      </c>
      <c r="I68" s="10">
        <f t="shared" si="6"/>
        <v>8.19</v>
      </c>
      <c r="J68" s="12">
        <f t="shared" si="7"/>
        <v>12.655</v>
      </c>
      <c r="K68" s="13">
        <f t="shared" si="8"/>
        <v>0.859</v>
      </c>
      <c r="L68" s="10">
        <f t="shared" si="9"/>
        <v>0.183</v>
      </c>
      <c r="M68" s="10">
        <f t="shared" si="10"/>
        <v>0.04463720732</v>
      </c>
      <c r="N68" s="14">
        <f t="shared" si="11"/>
        <v>5.2</v>
      </c>
      <c r="O68" s="9">
        <f t="shared" si="12"/>
        <v>91</v>
      </c>
      <c r="P68" s="9">
        <f t="shared" si="13"/>
        <v>73.63</v>
      </c>
    </row>
    <row r="69">
      <c r="A69" s="8">
        <v>68.0</v>
      </c>
      <c r="B69" s="8">
        <v>0.009</v>
      </c>
      <c r="C69" s="8">
        <v>0.511</v>
      </c>
      <c r="D69" s="9">
        <f t="shared" si="1"/>
        <v>107.05</v>
      </c>
      <c r="E69" s="9">
        <f t="shared" si="2"/>
        <v>0.43</v>
      </c>
      <c r="F69" s="10">
        <f t="shared" si="3"/>
        <v>1.996008354</v>
      </c>
      <c r="G69" s="11">
        <f t="shared" si="4"/>
        <v>65.34</v>
      </c>
      <c r="H69" s="10">
        <f t="shared" si="5"/>
        <v>33.7</v>
      </c>
      <c r="I69" s="10">
        <f t="shared" si="6"/>
        <v>8.16</v>
      </c>
      <c r="J69" s="12">
        <f t="shared" si="7"/>
        <v>12.489</v>
      </c>
      <c r="K69" s="13">
        <f t="shared" si="8"/>
        <v>0.853</v>
      </c>
      <c r="L69" s="10">
        <f t="shared" si="9"/>
        <v>0.189</v>
      </c>
      <c r="M69" s="10">
        <f t="shared" si="10"/>
        <v>0.04574774614</v>
      </c>
      <c r="N69" s="14">
        <f t="shared" si="11"/>
        <v>5.36</v>
      </c>
      <c r="O69" s="9">
        <f t="shared" si="12"/>
        <v>91</v>
      </c>
      <c r="P69" s="9">
        <f t="shared" si="13"/>
        <v>74.73</v>
      </c>
    </row>
    <row r="70">
      <c r="A70" s="8">
        <v>69.0</v>
      </c>
      <c r="B70" s="8">
        <v>0.003</v>
      </c>
      <c r="C70" s="8">
        <v>0.196</v>
      </c>
      <c r="D70" s="9">
        <f t="shared" si="1"/>
        <v>61.8</v>
      </c>
      <c r="E70" s="9">
        <f t="shared" si="2"/>
        <v>0.98</v>
      </c>
      <c r="F70" s="10">
        <f t="shared" si="3"/>
        <v>1.995468931</v>
      </c>
      <c r="G70" s="11">
        <f t="shared" si="4"/>
        <v>65.29</v>
      </c>
      <c r="H70" s="10">
        <f t="shared" si="5"/>
        <v>33.454</v>
      </c>
      <c r="I70" s="10">
        <f t="shared" si="6"/>
        <v>8.04</v>
      </c>
      <c r="J70" s="12">
        <f t="shared" si="7"/>
        <v>12.314</v>
      </c>
      <c r="K70" s="13">
        <f t="shared" si="8"/>
        <v>0.854</v>
      </c>
      <c r="L70" s="10">
        <f t="shared" si="9"/>
        <v>0.188</v>
      </c>
      <c r="M70" s="10">
        <f t="shared" si="10"/>
        <v>0.04516253117</v>
      </c>
      <c r="N70" s="14">
        <f t="shared" si="11"/>
        <v>5.29</v>
      </c>
      <c r="O70" s="9">
        <f t="shared" si="12"/>
        <v>91</v>
      </c>
      <c r="P70" s="9">
        <f t="shared" si="13"/>
        <v>75.82</v>
      </c>
    </row>
    <row r="71">
      <c r="A71" s="8">
        <v>70.0</v>
      </c>
      <c r="B71" s="8">
        <v>0.021</v>
      </c>
      <c r="C71" s="8">
        <v>0.63</v>
      </c>
      <c r="D71" s="9">
        <f t="shared" si="1"/>
        <v>163.52</v>
      </c>
      <c r="E71" s="9">
        <f t="shared" si="2"/>
        <v>0.66</v>
      </c>
      <c r="F71" s="10">
        <f t="shared" si="3"/>
        <v>1.994945415</v>
      </c>
      <c r="G71" s="11">
        <f t="shared" si="4"/>
        <v>66.69</v>
      </c>
      <c r="H71" s="10">
        <f t="shared" si="5"/>
        <v>35.225</v>
      </c>
      <c r="I71" s="10">
        <f t="shared" si="6"/>
        <v>8.4</v>
      </c>
      <c r="J71" s="12">
        <f t="shared" si="7"/>
        <v>12.596</v>
      </c>
      <c r="K71" s="13">
        <f t="shared" si="8"/>
        <v>0.852</v>
      </c>
      <c r="L71" s="10">
        <f t="shared" si="9"/>
        <v>0.188</v>
      </c>
      <c r="M71" s="10">
        <f t="shared" si="10"/>
        <v>0.04482701768</v>
      </c>
      <c r="N71" s="14">
        <f t="shared" si="11"/>
        <v>5.26</v>
      </c>
      <c r="O71" s="9">
        <f t="shared" si="12"/>
        <v>91</v>
      </c>
      <c r="P71" s="9">
        <f t="shared" si="13"/>
        <v>76.92</v>
      </c>
    </row>
    <row r="72">
      <c r="A72" s="8">
        <v>71.0</v>
      </c>
      <c r="B72" s="8">
        <v>0.004</v>
      </c>
      <c r="C72" s="8">
        <v>0.235</v>
      </c>
      <c r="D72" s="9">
        <f t="shared" si="1"/>
        <v>71.36</v>
      </c>
      <c r="E72" s="9">
        <f t="shared" si="2"/>
        <v>0.91</v>
      </c>
      <c r="F72" s="10">
        <f t="shared" si="3"/>
        <v>1.994437112</v>
      </c>
      <c r="G72" s="11">
        <f t="shared" si="4"/>
        <v>66.76</v>
      </c>
      <c r="H72" s="10">
        <f t="shared" si="5"/>
        <v>34.977</v>
      </c>
      <c r="I72" s="10">
        <f t="shared" si="6"/>
        <v>8.28</v>
      </c>
      <c r="J72" s="12">
        <f t="shared" si="7"/>
        <v>12.403</v>
      </c>
      <c r="K72" s="13">
        <f t="shared" si="8"/>
        <v>0.852</v>
      </c>
      <c r="L72" s="10">
        <f t="shared" si="9"/>
        <v>0.187</v>
      </c>
      <c r="M72" s="10">
        <f t="shared" si="10"/>
        <v>0.04426217786</v>
      </c>
      <c r="N72" s="14">
        <f t="shared" si="11"/>
        <v>5.2</v>
      </c>
      <c r="O72" s="9">
        <f t="shared" si="12"/>
        <v>91</v>
      </c>
      <c r="P72" s="9">
        <f t="shared" si="13"/>
        <v>78.02</v>
      </c>
    </row>
    <row r="73">
      <c r="A73" s="8">
        <v>72.0</v>
      </c>
      <c r="B73" s="8">
        <v>0.003</v>
      </c>
      <c r="C73" s="8">
        <v>0.203</v>
      </c>
      <c r="D73" s="9">
        <f t="shared" si="1"/>
        <v>61.8</v>
      </c>
      <c r="E73" s="9">
        <f t="shared" si="2"/>
        <v>0.91</v>
      </c>
      <c r="F73" s="10">
        <f t="shared" si="3"/>
        <v>1.993943368</v>
      </c>
      <c r="G73" s="11">
        <f t="shared" si="4"/>
        <v>66.69</v>
      </c>
      <c r="H73" s="10">
        <f t="shared" si="5"/>
        <v>34.735</v>
      </c>
      <c r="I73" s="10">
        <f t="shared" si="6"/>
        <v>8.16</v>
      </c>
      <c r="J73" s="12">
        <f t="shared" si="7"/>
        <v>12.236</v>
      </c>
      <c r="K73" s="13">
        <f t="shared" si="8"/>
        <v>0.853</v>
      </c>
      <c r="L73" s="10">
        <f t="shared" si="9"/>
        <v>0.186</v>
      </c>
      <c r="M73" s="10">
        <f t="shared" si="10"/>
        <v>0.04370785718</v>
      </c>
      <c r="N73" s="14">
        <f t="shared" si="11"/>
        <v>5.12</v>
      </c>
      <c r="O73" s="9">
        <f t="shared" si="12"/>
        <v>91</v>
      </c>
      <c r="P73" s="9">
        <f t="shared" si="13"/>
        <v>79.12</v>
      </c>
    </row>
    <row r="74">
      <c r="A74" s="8">
        <v>73.0</v>
      </c>
      <c r="B74" s="15">
        <v>8.466E-4</v>
      </c>
      <c r="C74" s="8">
        <v>0.104</v>
      </c>
      <c r="D74" s="9">
        <f t="shared" si="1"/>
        <v>32.83</v>
      </c>
      <c r="E74" s="16">
        <f t="shared" si="2"/>
        <v>0.98</v>
      </c>
      <c r="F74" s="10">
        <f t="shared" si="3"/>
        <v>1.993463567</v>
      </c>
      <c r="G74" s="11">
        <f t="shared" si="4"/>
        <v>66.22</v>
      </c>
      <c r="H74" s="10">
        <f t="shared" si="5"/>
        <v>34.72</v>
      </c>
      <c r="I74" s="10">
        <f t="shared" si="6"/>
        <v>8.1</v>
      </c>
      <c r="J74" s="12">
        <f t="shared" si="7"/>
        <v>12.232</v>
      </c>
      <c r="K74" s="13">
        <f t="shared" si="8"/>
        <v>0.855</v>
      </c>
      <c r="L74" s="10">
        <f t="shared" si="9"/>
        <v>0.185</v>
      </c>
      <c r="M74" s="10">
        <f t="shared" si="10"/>
        <v>0.04316369361</v>
      </c>
      <c r="N74" s="14">
        <f t="shared" si="11"/>
        <v>5.05</v>
      </c>
      <c r="O74" s="9">
        <f t="shared" si="12"/>
        <v>91</v>
      </c>
      <c r="P74" s="9">
        <f t="shared" si="13"/>
        <v>80.22</v>
      </c>
    </row>
    <row r="75">
      <c r="A75" s="8">
        <v>74.0</v>
      </c>
      <c r="B75" s="8">
        <v>0.012</v>
      </c>
      <c r="C75" s="8">
        <v>0.471</v>
      </c>
      <c r="D75" s="9">
        <f t="shared" si="1"/>
        <v>123.61</v>
      </c>
      <c r="E75" s="9">
        <f t="shared" si="2"/>
        <v>0.68</v>
      </c>
      <c r="F75" s="10">
        <f t="shared" si="3"/>
        <v>1.992997126</v>
      </c>
      <c r="G75" s="11">
        <f t="shared" si="4"/>
        <v>67</v>
      </c>
      <c r="H75" s="10">
        <f t="shared" si="5"/>
        <v>35.12</v>
      </c>
      <c r="I75" s="10">
        <f t="shared" si="6"/>
        <v>8.14</v>
      </c>
      <c r="J75" s="12">
        <f t="shared" si="7"/>
        <v>12.149</v>
      </c>
      <c r="K75" s="13">
        <f t="shared" si="8"/>
        <v>0.853</v>
      </c>
      <c r="L75" s="10">
        <f t="shared" si="9"/>
        <v>0.185</v>
      </c>
      <c r="M75" s="10">
        <f t="shared" si="10"/>
        <v>0.04286102383</v>
      </c>
      <c r="N75" s="14">
        <f t="shared" si="11"/>
        <v>5.02</v>
      </c>
      <c r="O75" s="9">
        <f t="shared" si="12"/>
        <v>91</v>
      </c>
      <c r="P75" s="9">
        <f t="shared" si="13"/>
        <v>81.32</v>
      </c>
    </row>
    <row r="76">
      <c r="A76" s="8">
        <v>75.0</v>
      </c>
      <c r="B76" s="8">
        <v>0.002</v>
      </c>
      <c r="C76" s="8">
        <v>0.179</v>
      </c>
      <c r="D76" s="9">
        <f t="shared" si="1"/>
        <v>50.46</v>
      </c>
      <c r="E76" s="9">
        <f t="shared" si="2"/>
        <v>0.78</v>
      </c>
      <c r="F76" s="10">
        <f t="shared" si="3"/>
        <v>1.992543495</v>
      </c>
      <c r="G76" s="11">
        <f t="shared" si="4"/>
        <v>66.78</v>
      </c>
      <c r="H76" s="10">
        <f t="shared" si="5"/>
        <v>34.935</v>
      </c>
      <c r="I76" s="10">
        <f t="shared" si="6"/>
        <v>8.04</v>
      </c>
      <c r="J76" s="12">
        <f t="shared" si="7"/>
        <v>12.04</v>
      </c>
      <c r="K76" s="13">
        <f t="shared" si="8"/>
        <v>0.852</v>
      </c>
      <c r="L76" s="10">
        <f t="shared" si="9"/>
        <v>0.184</v>
      </c>
      <c r="M76" s="10">
        <f t="shared" si="10"/>
        <v>0.04233455526</v>
      </c>
      <c r="N76" s="14">
        <f t="shared" si="11"/>
        <v>4.97</v>
      </c>
      <c r="O76" s="9">
        <f t="shared" si="12"/>
        <v>91</v>
      </c>
      <c r="P76" s="9">
        <f t="shared" si="13"/>
        <v>82.42</v>
      </c>
    </row>
    <row r="77">
      <c r="A77" s="8">
        <v>76.0</v>
      </c>
      <c r="B77" s="8">
        <v>0.001</v>
      </c>
      <c r="C77" s="8">
        <v>0.133</v>
      </c>
      <c r="D77" s="9">
        <f t="shared" si="1"/>
        <v>35.68</v>
      </c>
      <c r="E77" s="9">
        <f t="shared" si="2"/>
        <v>0.71</v>
      </c>
      <c r="F77" s="10">
        <f t="shared" si="3"/>
        <v>1.992102154</v>
      </c>
      <c r="G77" s="11">
        <f t="shared" si="4"/>
        <v>66.37</v>
      </c>
      <c r="H77" s="10">
        <f t="shared" si="5"/>
        <v>34.884</v>
      </c>
      <c r="I77" s="10">
        <f t="shared" si="6"/>
        <v>7.97</v>
      </c>
      <c r="J77" s="12">
        <f t="shared" si="7"/>
        <v>12.008</v>
      </c>
      <c r="K77" s="13">
        <f t="shared" si="8"/>
        <v>0.85</v>
      </c>
      <c r="L77" s="10">
        <f t="shared" si="9"/>
        <v>0.183</v>
      </c>
      <c r="M77" s="10">
        <f t="shared" si="10"/>
        <v>0.04181729135</v>
      </c>
      <c r="N77" s="14">
        <f t="shared" si="11"/>
        <v>4.92</v>
      </c>
      <c r="O77" s="9">
        <f t="shared" si="12"/>
        <v>91</v>
      </c>
      <c r="P77" s="9">
        <f t="shared" si="13"/>
        <v>83.52</v>
      </c>
    </row>
    <row r="78">
      <c r="A78" s="8">
        <v>77.0</v>
      </c>
      <c r="B78" s="8">
        <v>0.002</v>
      </c>
      <c r="C78" s="8">
        <v>0.178</v>
      </c>
      <c r="D78" s="9">
        <f t="shared" si="1"/>
        <v>50.46</v>
      </c>
      <c r="E78" s="9">
        <f t="shared" si="2"/>
        <v>0.79</v>
      </c>
      <c r="F78" s="10">
        <f t="shared" si="3"/>
        <v>1.99167261</v>
      </c>
      <c r="G78" s="11">
        <f t="shared" si="4"/>
        <v>66.16</v>
      </c>
      <c r="H78" s="10">
        <f t="shared" si="5"/>
        <v>34.701</v>
      </c>
      <c r="I78" s="10">
        <f t="shared" si="6"/>
        <v>7.88</v>
      </c>
      <c r="J78" s="12">
        <f t="shared" si="7"/>
        <v>11.911</v>
      </c>
      <c r="K78" s="13">
        <f t="shared" si="8"/>
        <v>0.849</v>
      </c>
      <c r="L78" s="10">
        <f t="shared" si="9"/>
        <v>0.182</v>
      </c>
      <c r="M78" s="10">
        <f t="shared" si="10"/>
        <v>0.04130893289</v>
      </c>
      <c r="N78" s="14">
        <f t="shared" si="11"/>
        <v>4.87</v>
      </c>
      <c r="O78" s="9">
        <f t="shared" si="12"/>
        <v>91</v>
      </c>
      <c r="P78" s="9">
        <f t="shared" si="13"/>
        <v>84.62</v>
      </c>
    </row>
    <row r="79">
      <c r="A79" s="8">
        <v>78.0</v>
      </c>
      <c r="B79" s="8">
        <v>0.005</v>
      </c>
      <c r="C79" s="8">
        <v>0.288</v>
      </c>
      <c r="D79" s="9">
        <f t="shared" si="1"/>
        <v>79.79</v>
      </c>
      <c r="E79" s="9">
        <f t="shared" si="2"/>
        <v>0.76</v>
      </c>
      <c r="F79" s="10">
        <f t="shared" si="3"/>
        <v>1.991254395</v>
      </c>
      <c r="G79" s="11">
        <f t="shared" si="4"/>
        <v>66.34</v>
      </c>
      <c r="H79" s="10">
        <f t="shared" si="5"/>
        <v>34.509</v>
      </c>
      <c r="I79" s="10">
        <f t="shared" si="6"/>
        <v>7.78</v>
      </c>
      <c r="J79" s="12">
        <f t="shared" si="7"/>
        <v>11.727</v>
      </c>
      <c r="K79" s="13">
        <f t="shared" si="8"/>
        <v>0.848</v>
      </c>
      <c r="L79" s="10">
        <f t="shared" si="9"/>
        <v>0.181</v>
      </c>
      <c r="M79" s="10">
        <f t="shared" si="10"/>
        <v>0.04080919434</v>
      </c>
      <c r="N79" s="14">
        <f t="shared" si="11"/>
        <v>4.81</v>
      </c>
      <c r="O79" s="9">
        <f t="shared" si="12"/>
        <v>91</v>
      </c>
      <c r="P79" s="9">
        <f t="shared" si="13"/>
        <v>85.71</v>
      </c>
    </row>
    <row r="80">
      <c r="A80" s="8">
        <v>79.0</v>
      </c>
      <c r="B80" s="15">
        <v>8.275E-5</v>
      </c>
      <c r="C80" s="8">
        <v>0.032</v>
      </c>
      <c r="D80" s="9">
        <f t="shared" si="1"/>
        <v>10.26</v>
      </c>
      <c r="E80" s="16">
        <f t="shared" si="2"/>
        <v>1.02</v>
      </c>
      <c r="F80" s="10">
        <f t="shared" si="3"/>
        <v>1.990847069</v>
      </c>
      <c r="G80" s="11">
        <f t="shared" si="4"/>
        <v>65.63</v>
      </c>
      <c r="H80" s="10">
        <f t="shared" si="5"/>
        <v>34.863</v>
      </c>
      <c r="I80" s="10">
        <f t="shared" si="6"/>
        <v>7.81</v>
      </c>
      <c r="J80" s="12">
        <f t="shared" si="7"/>
        <v>11.9</v>
      </c>
      <c r="K80" s="13">
        <f t="shared" si="8"/>
        <v>0.85</v>
      </c>
      <c r="L80" s="10">
        <f t="shared" si="9"/>
        <v>0.181</v>
      </c>
      <c r="M80" s="10">
        <f t="shared" si="10"/>
        <v>0.04054179089</v>
      </c>
      <c r="N80" s="14">
        <f t="shared" si="11"/>
        <v>4.77</v>
      </c>
      <c r="O80" s="9">
        <f t="shared" si="12"/>
        <v>91</v>
      </c>
      <c r="P80" s="9">
        <f t="shared" si="13"/>
        <v>86.81</v>
      </c>
    </row>
    <row r="81">
      <c r="A81" s="8">
        <v>80.0</v>
      </c>
      <c r="B81" s="8">
        <v>0.003</v>
      </c>
      <c r="C81" s="8">
        <v>0.193</v>
      </c>
      <c r="D81" s="9">
        <f t="shared" si="1"/>
        <v>61.8</v>
      </c>
      <c r="E81" s="9">
        <f t="shared" si="2"/>
        <v>1.01</v>
      </c>
      <c r="F81" s="10">
        <f t="shared" si="3"/>
        <v>1.99045021</v>
      </c>
      <c r="G81" s="11">
        <f t="shared" si="4"/>
        <v>65.58</v>
      </c>
      <c r="H81" s="10">
        <f t="shared" si="5"/>
        <v>34.644</v>
      </c>
      <c r="I81" s="10">
        <f t="shared" si="6"/>
        <v>7.71</v>
      </c>
      <c r="J81" s="12">
        <f t="shared" si="7"/>
        <v>11.757</v>
      </c>
      <c r="K81" s="13">
        <f t="shared" si="8"/>
        <v>0.852</v>
      </c>
      <c r="L81" s="10">
        <f t="shared" si="9"/>
        <v>0.181</v>
      </c>
      <c r="M81" s="10">
        <f t="shared" si="10"/>
        <v>0.04027957688</v>
      </c>
      <c r="N81" s="14">
        <f t="shared" si="11"/>
        <v>4.73</v>
      </c>
      <c r="O81" s="9">
        <f t="shared" si="12"/>
        <v>91</v>
      </c>
      <c r="P81" s="9">
        <f t="shared" si="13"/>
        <v>87.91</v>
      </c>
    </row>
    <row r="82">
      <c r="A82" s="8">
        <v>81.0</v>
      </c>
      <c r="B82" s="8">
        <v>0.001</v>
      </c>
      <c r="C82" s="8">
        <v>0.127</v>
      </c>
      <c r="D82" s="9">
        <f t="shared" si="1"/>
        <v>35.68</v>
      </c>
      <c r="E82" s="9">
        <f t="shared" si="2"/>
        <v>0.78</v>
      </c>
      <c r="F82" s="10">
        <f t="shared" si="3"/>
        <v>1.990063421</v>
      </c>
      <c r="G82" s="11">
        <f t="shared" si="4"/>
        <v>65.21</v>
      </c>
      <c r="H82" s="10">
        <f t="shared" si="5"/>
        <v>34.587</v>
      </c>
      <c r="I82" s="10">
        <f t="shared" si="6"/>
        <v>7.65</v>
      </c>
      <c r="J82" s="12">
        <f t="shared" si="7"/>
        <v>11.731</v>
      </c>
      <c r="K82" s="13">
        <f t="shared" si="8"/>
        <v>0.851</v>
      </c>
      <c r="L82" s="10">
        <f t="shared" si="9"/>
        <v>0.18</v>
      </c>
      <c r="M82" s="10">
        <f t="shared" si="10"/>
        <v>0.03980126843</v>
      </c>
      <c r="N82" s="14">
        <f t="shared" si="11"/>
        <v>4.68</v>
      </c>
      <c r="O82" s="9">
        <f t="shared" si="12"/>
        <v>91</v>
      </c>
      <c r="P82" s="9">
        <f t="shared" si="13"/>
        <v>89.01</v>
      </c>
    </row>
    <row r="83">
      <c r="A83" s="8">
        <v>82.0</v>
      </c>
      <c r="B83" s="8">
        <v>0.003</v>
      </c>
      <c r="C83" s="8">
        <v>0.201</v>
      </c>
      <c r="D83" s="9">
        <f t="shared" si="1"/>
        <v>61.8</v>
      </c>
      <c r="E83" s="9">
        <f t="shared" si="2"/>
        <v>0.93</v>
      </c>
      <c r="F83" s="10">
        <f t="shared" si="3"/>
        <v>1.989686323</v>
      </c>
      <c r="G83" s="11">
        <f t="shared" si="4"/>
        <v>65.17</v>
      </c>
      <c r="H83" s="10">
        <f t="shared" si="5"/>
        <v>34.375</v>
      </c>
      <c r="I83" s="10">
        <f t="shared" si="6"/>
        <v>7.55</v>
      </c>
      <c r="J83" s="12">
        <f t="shared" si="7"/>
        <v>11.585</v>
      </c>
      <c r="K83" s="13">
        <f t="shared" si="8"/>
        <v>0.852</v>
      </c>
      <c r="L83" s="10">
        <f t="shared" si="9"/>
        <v>0.179</v>
      </c>
      <c r="M83" s="10">
        <f t="shared" si="10"/>
        <v>0.03933061338</v>
      </c>
      <c r="N83" s="14">
        <f t="shared" si="11"/>
        <v>4.62</v>
      </c>
      <c r="O83" s="9">
        <f t="shared" si="12"/>
        <v>91</v>
      </c>
      <c r="P83" s="9">
        <f t="shared" si="13"/>
        <v>90.11</v>
      </c>
    </row>
    <row r="84">
      <c r="A84" s="8">
        <v>83.0</v>
      </c>
      <c r="B84" s="8">
        <v>0.003</v>
      </c>
      <c r="C84" s="8">
        <v>0.188</v>
      </c>
      <c r="D84" s="9">
        <f t="shared" si="1"/>
        <v>61.8</v>
      </c>
      <c r="E84" s="9">
        <f t="shared" si="2"/>
        <v>1.07</v>
      </c>
      <c r="F84" s="10">
        <f t="shared" si="3"/>
        <v>1.989318557</v>
      </c>
      <c r="G84" s="11">
        <f t="shared" si="4"/>
        <v>65.13</v>
      </c>
      <c r="H84" s="10">
        <f t="shared" si="5"/>
        <v>34.167</v>
      </c>
      <c r="I84" s="10">
        <f t="shared" si="6"/>
        <v>7.46</v>
      </c>
      <c r="J84" s="12">
        <f t="shared" si="7"/>
        <v>11.454</v>
      </c>
      <c r="K84" s="13">
        <f t="shared" si="8"/>
        <v>0.855</v>
      </c>
      <c r="L84" s="10">
        <f t="shared" si="9"/>
        <v>0.179</v>
      </c>
      <c r="M84" s="10">
        <f t="shared" si="10"/>
        <v>0.0390857382</v>
      </c>
      <c r="N84" s="14">
        <f t="shared" si="11"/>
        <v>4.57</v>
      </c>
      <c r="O84" s="9">
        <f t="shared" si="12"/>
        <v>91</v>
      </c>
      <c r="P84" s="9">
        <f t="shared" si="13"/>
        <v>91.21</v>
      </c>
    </row>
    <row r="85">
      <c r="A85" s="8">
        <v>84.0</v>
      </c>
      <c r="B85" s="8">
        <v>0.002</v>
      </c>
      <c r="C85" s="8">
        <v>0.174</v>
      </c>
      <c r="D85" s="9">
        <f t="shared" si="1"/>
        <v>50.46</v>
      </c>
      <c r="E85" s="9">
        <f t="shared" si="2"/>
        <v>0.83</v>
      </c>
      <c r="F85" s="10">
        <f t="shared" si="3"/>
        <v>1.98895978</v>
      </c>
      <c r="G85" s="11">
        <f t="shared" si="4"/>
        <v>64.95</v>
      </c>
      <c r="H85" s="10">
        <f t="shared" si="5"/>
        <v>33.998</v>
      </c>
      <c r="I85" s="10">
        <f t="shared" si="6"/>
        <v>7.38</v>
      </c>
      <c r="J85" s="12">
        <f t="shared" si="7"/>
        <v>11.363</v>
      </c>
      <c r="K85" s="13">
        <f t="shared" si="8"/>
        <v>0.854</v>
      </c>
      <c r="L85" s="10">
        <f t="shared" si="9"/>
        <v>0.178</v>
      </c>
      <c r="M85" s="10">
        <f t="shared" si="10"/>
        <v>0.03862836802</v>
      </c>
      <c r="N85" s="14">
        <f t="shared" si="11"/>
        <v>4.52</v>
      </c>
      <c r="O85" s="9">
        <f t="shared" si="12"/>
        <v>91</v>
      </c>
      <c r="P85" s="9">
        <f t="shared" si="13"/>
        <v>92.31</v>
      </c>
    </row>
    <row r="86">
      <c r="A86" s="8">
        <v>85.0</v>
      </c>
      <c r="B86" s="8">
        <v>0.001</v>
      </c>
      <c r="C86" s="8">
        <v>0.122</v>
      </c>
      <c r="D86" s="9">
        <f t="shared" si="1"/>
        <v>35.68</v>
      </c>
      <c r="E86" s="9">
        <f t="shared" si="2"/>
        <v>0.84</v>
      </c>
      <c r="F86" s="10">
        <f t="shared" si="3"/>
        <v>1.988609667</v>
      </c>
      <c r="G86" s="11">
        <f t="shared" si="4"/>
        <v>64.61</v>
      </c>
      <c r="H86" s="10">
        <f t="shared" si="5"/>
        <v>33.944</v>
      </c>
      <c r="I86" s="10">
        <f t="shared" si="6"/>
        <v>7.32</v>
      </c>
      <c r="J86" s="12">
        <f t="shared" si="7"/>
        <v>11.33</v>
      </c>
      <c r="K86" s="13">
        <f t="shared" si="8"/>
        <v>0.854</v>
      </c>
      <c r="L86" s="10">
        <f t="shared" si="9"/>
        <v>0.177</v>
      </c>
      <c r="M86" s="10">
        <f t="shared" si="10"/>
        <v>0.03817801548</v>
      </c>
      <c r="N86" s="14">
        <f t="shared" si="11"/>
        <v>4.47</v>
      </c>
      <c r="O86" s="9">
        <f t="shared" si="12"/>
        <v>91</v>
      </c>
      <c r="P86" s="9">
        <f t="shared" si="13"/>
        <v>93.41</v>
      </c>
    </row>
    <row r="87">
      <c r="A87" s="8">
        <v>86.0</v>
      </c>
      <c r="B87" s="8">
        <v>0.001</v>
      </c>
      <c r="C87" s="8">
        <v>0.135</v>
      </c>
      <c r="D87" s="9">
        <f t="shared" si="1"/>
        <v>35.68</v>
      </c>
      <c r="E87" s="9">
        <f t="shared" si="2"/>
        <v>0.69</v>
      </c>
      <c r="F87" s="10">
        <f t="shared" si="3"/>
        <v>1.988267907</v>
      </c>
      <c r="G87" s="11">
        <f t="shared" si="4"/>
        <v>64.27</v>
      </c>
      <c r="H87" s="10">
        <f t="shared" si="5"/>
        <v>33.888</v>
      </c>
      <c r="I87" s="10">
        <f t="shared" si="6"/>
        <v>7.27</v>
      </c>
      <c r="J87" s="12">
        <f t="shared" si="7"/>
        <v>11.312</v>
      </c>
      <c r="K87" s="13">
        <f t="shared" si="8"/>
        <v>0.852</v>
      </c>
      <c r="L87" s="10">
        <f t="shared" si="9"/>
        <v>0.177</v>
      </c>
      <c r="M87" s="10">
        <f t="shared" si="10"/>
        <v>0.03794887829</v>
      </c>
      <c r="N87" s="14">
        <f t="shared" si="11"/>
        <v>4.45</v>
      </c>
      <c r="O87" s="9">
        <f t="shared" si="12"/>
        <v>91</v>
      </c>
      <c r="P87" s="9">
        <f t="shared" si="13"/>
        <v>94.51</v>
      </c>
    </row>
    <row r="88">
      <c r="A88" s="8">
        <v>87.0</v>
      </c>
      <c r="B88" s="8">
        <v>0.002</v>
      </c>
      <c r="C88" s="8">
        <v>0.201</v>
      </c>
      <c r="D88" s="9">
        <f t="shared" si="1"/>
        <v>50.46</v>
      </c>
      <c r="E88" s="9">
        <f t="shared" si="2"/>
        <v>0.62</v>
      </c>
      <c r="F88" s="10">
        <f t="shared" si="3"/>
        <v>1.987934206</v>
      </c>
      <c r="G88" s="11">
        <f t="shared" si="4"/>
        <v>64.11</v>
      </c>
      <c r="H88" s="10">
        <f t="shared" si="5"/>
        <v>33.722</v>
      </c>
      <c r="I88" s="10">
        <f t="shared" si="6"/>
        <v>7.19</v>
      </c>
      <c r="J88" s="12">
        <f t="shared" si="7"/>
        <v>11.215</v>
      </c>
      <c r="K88" s="13">
        <f t="shared" si="8"/>
        <v>0.85</v>
      </c>
      <c r="L88" s="10">
        <f t="shared" si="9"/>
        <v>0.178</v>
      </c>
      <c r="M88" s="10">
        <f t="shared" si="10"/>
        <v>0.03793694742</v>
      </c>
      <c r="N88" s="14">
        <f t="shared" si="11"/>
        <v>4.46</v>
      </c>
      <c r="O88" s="9">
        <f t="shared" si="12"/>
        <v>91</v>
      </c>
      <c r="P88" s="9">
        <f t="shared" si="13"/>
        <v>95.6</v>
      </c>
    </row>
    <row r="89">
      <c r="A89" s="8">
        <v>88.0</v>
      </c>
      <c r="B89" s="8">
        <v>0.001</v>
      </c>
      <c r="C89" s="8">
        <v>0.14</v>
      </c>
      <c r="D89" s="9">
        <f t="shared" si="1"/>
        <v>35.68</v>
      </c>
      <c r="E89" s="9">
        <f t="shared" si="2"/>
        <v>0.64</v>
      </c>
      <c r="F89" s="10">
        <f t="shared" si="3"/>
        <v>1.987608282</v>
      </c>
      <c r="G89" s="11">
        <f t="shared" si="4"/>
        <v>63.79</v>
      </c>
      <c r="H89" s="10">
        <f t="shared" si="5"/>
        <v>33.665</v>
      </c>
      <c r="I89" s="10">
        <f t="shared" si="6"/>
        <v>7.13</v>
      </c>
      <c r="J89" s="12">
        <f t="shared" si="7"/>
        <v>11.177</v>
      </c>
      <c r="K89" s="13">
        <f t="shared" si="8"/>
        <v>0.847</v>
      </c>
      <c r="L89" s="10">
        <f t="shared" si="9"/>
        <v>0.178</v>
      </c>
      <c r="M89" s="10">
        <f t="shared" si="10"/>
        <v>0.03771459634</v>
      </c>
      <c r="N89" s="14">
        <f t="shared" si="11"/>
        <v>4.45</v>
      </c>
      <c r="O89" s="9">
        <f t="shared" si="12"/>
        <v>91</v>
      </c>
      <c r="P89" s="9">
        <f t="shared" si="13"/>
        <v>96.7</v>
      </c>
    </row>
    <row r="90">
      <c r="A90" s="8">
        <v>89.0</v>
      </c>
      <c r="B90" s="15">
        <v>4.456E-5</v>
      </c>
      <c r="C90" s="8">
        <v>0.023</v>
      </c>
      <c r="D90" s="9">
        <f t="shared" si="1"/>
        <v>7.53</v>
      </c>
      <c r="E90" s="16">
        <f t="shared" si="2"/>
        <v>1.06</v>
      </c>
      <c r="F90" s="10">
        <f t="shared" si="3"/>
        <v>1.987289865</v>
      </c>
      <c r="G90" s="11">
        <f t="shared" si="4"/>
        <v>63.16</v>
      </c>
      <c r="H90" s="10">
        <f t="shared" si="5"/>
        <v>34</v>
      </c>
      <c r="I90" s="10">
        <f t="shared" si="6"/>
        <v>7.16</v>
      </c>
      <c r="J90" s="12">
        <f t="shared" si="7"/>
        <v>11.336</v>
      </c>
      <c r="K90" s="13">
        <f t="shared" si="8"/>
        <v>0.85</v>
      </c>
      <c r="L90" s="10">
        <f t="shared" si="9"/>
        <v>0.179</v>
      </c>
      <c r="M90" s="10">
        <f t="shared" si="10"/>
        <v>0.03770676248</v>
      </c>
      <c r="N90" s="14">
        <f t="shared" si="11"/>
        <v>4.44</v>
      </c>
      <c r="O90" s="9">
        <f t="shared" si="12"/>
        <v>91</v>
      </c>
      <c r="P90" s="9">
        <f t="shared" si="13"/>
        <v>97.8</v>
      </c>
    </row>
    <row r="91">
      <c r="A91" s="8">
        <v>90.0</v>
      </c>
      <c r="B91" s="8">
        <v>0.002</v>
      </c>
      <c r="C91" s="8">
        <v>0.143</v>
      </c>
      <c r="D91" s="9">
        <f t="shared" si="1"/>
        <v>50.46</v>
      </c>
      <c r="E91" s="9">
        <f t="shared" si="2"/>
        <v>1.23</v>
      </c>
      <c r="F91" s="10">
        <f t="shared" si="3"/>
        <v>1.9869787</v>
      </c>
      <c r="G91" s="11">
        <f t="shared" si="4"/>
        <v>63.02</v>
      </c>
      <c r="H91" s="10">
        <f t="shared" si="5"/>
        <v>33.835</v>
      </c>
      <c r="I91" s="10">
        <f t="shared" si="6"/>
        <v>7.09</v>
      </c>
      <c r="J91" s="12">
        <f t="shared" si="7"/>
        <v>11.25</v>
      </c>
      <c r="K91" s="13">
        <f t="shared" si="8"/>
        <v>0.854</v>
      </c>
      <c r="L91" s="10">
        <f t="shared" si="9"/>
        <v>0.182</v>
      </c>
      <c r="M91" s="10">
        <f t="shared" si="10"/>
        <v>0.03811916201</v>
      </c>
      <c r="N91" s="14">
        <f t="shared" si="11"/>
        <v>4.46</v>
      </c>
      <c r="O91" s="9">
        <f t="shared" si="12"/>
        <v>91</v>
      </c>
      <c r="P91" s="9">
        <f t="shared" si="13"/>
        <v>98.9</v>
      </c>
    </row>
    <row r="92">
      <c r="A92" s="8">
        <v>91.0</v>
      </c>
      <c r="B92" s="15">
        <v>5.538E-4</v>
      </c>
      <c r="C92" s="8">
        <v>0.088</v>
      </c>
      <c r="D92" s="9">
        <f t="shared" si="1"/>
        <v>26.55</v>
      </c>
      <c r="E92" s="16">
        <f t="shared" si="2"/>
        <v>0.9</v>
      </c>
      <c r="F92" s="10">
        <f t="shared" si="3"/>
        <v>1.986674541</v>
      </c>
      <c r="G92" s="11">
        <f t="shared" si="4"/>
        <v>62.62</v>
      </c>
      <c r="H92" s="10">
        <f t="shared" si="5"/>
        <v>33.863</v>
      </c>
      <c r="I92" s="10">
        <f t="shared" si="6"/>
        <v>7.05</v>
      </c>
      <c r="J92" s="12">
        <f t="shared" si="7"/>
        <v>11.258</v>
      </c>
      <c r="K92" s="13">
        <f t="shared" si="8"/>
        <v>0.854</v>
      </c>
      <c r="L92" s="10">
        <f t="shared" si="9"/>
        <v>0.181</v>
      </c>
      <c r="M92" s="10">
        <f t="shared" si="10"/>
        <v>0.03769507442</v>
      </c>
      <c r="N92" s="14">
        <f t="shared" si="11"/>
        <v>4.41</v>
      </c>
      <c r="O92" s="9">
        <f t="shared" si="12"/>
        <v>91</v>
      </c>
      <c r="P92" s="9">
        <f t="shared" si="13"/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8">
        <v>0.02</v>
      </c>
      <c r="C2" s="8">
        <v>0.606</v>
      </c>
      <c r="D2" s="9">
        <f t="shared" ref="D2:D128" si="1">ROUND(2*SQRT(B2/PI())*1000,2)</f>
        <v>159.58</v>
      </c>
      <c r="E2" s="9">
        <f t="shared" ref="E2:E128" si="2">ROUND(4*PI()*B2/C2/C2,2)</f>
        <v>0.68</v>
      </c>
      <c r="F2" s="10" t="str">
        <f t="shared" ref="F2:F128" si="3">_xlfn.T.INV(1-0.5*0.05,A2-1)</f>
        <v>#NUM!</v>
      </c>
      <c r="G2" s="11">
        <f t="shared" ref="G2:G128" si="4">ROUND(AVERAGE(D$2:D2),2)</f>
        <v>159.58</v>
      </c>
      <c r="H2" s="10" t="str">
        <f t="shared" ref="H2:H128" si="5">ROUND(_xlfn.STDEV.S(D$2:D2),3)</f>
        <v>#DIV/0!</v>
      </c>
      <c r="I2" s="10" t="str">
        <f t="shared" ref="I2:I128" si="6">ROUND(H2*F2/SQRT(A2),2)</f>
        <v>#DIV/0!</v>
      </c>
      <c r="J2" s="12" t="str">
        <f t="shared" ref="J2:J128" si="7">ROUND(100*I2/G2,3)</f>
        <v>#DIV/0!</v>
      </c>
      <c r="K2" s="13">
        <f t="shared" ref="K2:K128" si="8">ROUND(AVERAGE(E$2:E2),3)</f>
        <v>0.68</v>
      </c>
      <c r="L2" s="10" t="str">
        <f t="shared" ref="L2:L128" si="9">ROUND(_xlfn.STDEV.S(E$2:E2),3)</f>
        <v>#DIV/0!</v>
      </c>
      <c r="M2" s="10" t="str">
        <f t="shared" ref="M2:M128" si="10">L2*F2/SQRT(A2)</f>
        <v>#DIV/0!</v>
      </c>
      <c r="N2" s="14" t="str">
        <f t="shared" ref="N2:N128" si="11">ROUND(M2*100/K2,2)</f>
        <v>#DIV/0!</v>
      </c>
      <c r="O2" s="9">
        <f t="shared" ref="O2:O128" si="12">COUNT(A:A)</f>
        <v>127</v>
      </c>
      <c r="P2" s="9">
        <f t="shared" ref="P2:P128" si="13">ROUND(A2*100/O2,2)</f>
        <v>0.79</v>
      </c>
    </row>
    <row r="3">
      <c r="A3" s="8">
        <v>2.0</v>
      </c>
      <c r="B3" s="15">
        <v>1.337E-4</v>
      </c>
      <c r="C3" s="8">
        <v>0.039</v>
      </c>
      <c r="D3" s="9">
        <f t="shared" si="1"/>
        <v>13.05</v>
      </c>
      <c r="E3" s="16">
        <f t="shared" si="2"/>
        <v>1.1</v>
      </c>
      <c r="F3" s="10">
        <f t="shared" si="3"/>
        <v>12.70620474</v>
      </c>
      <c r="G3" s="11">
        <f t="shared" si="4"/>
        <v>86.32</v>
      </c>
      <c r="H3" s="10">
        <f t="shared" si="5"/>
        <v>103.612</v>
      </c>
      <c r="I3" s="10">
        <f t="shared" si="6"/>
        <v>930.92</v>
      </c>
      <c r="J3" s="12">
        <f t="shared" si="7"/>
        <v>1078.452</v>
      </c>
      <c r="K3" s="13">
        <f t="shared" si="8"/>
        <v>0.89</v>
      </c>
      <c r="L3" s="10">
        <f t="shared" si="9"/>
        <v>0.297</v>
      </c>
      <c r="M3" s="10">
        <f t="shared" si="10"/>
        <v>2.668439129</v>
      </c>
      <c r="N3" s="14">
        <f t="shared" si="11"/>
        <v>299.82</v>
      </c>
      <c r="O3" s="9">
        <f t="shared" si="12"/>
        <v>127</v>
      </c>
      <c r="P3" s="9">
        <f t="shared" si="13"/>
        <v>1.57</v>
      </c>
    </row>
    <row r="4">
      <c r="A4" s="8">
        <v>3.0</v>
      </c>
      <c r="B4" s="8">
        <v>0.004</v>
      </c>
      <c r="C4" s="8">
        <v>0.241</v>
      </c>
      <c r="D4" s="9">
        <f t="shared" si="1"/>
        <v>71.36</v>
      </c>
      <c r="E4" s="9">
        <f t="shared" si="2"/>
        <v>0.87</v>
      </c>
      <c r="F4" s="10">
        <f t="shared" si="3"/>
        <v>4.30265273</v>
      </c>
      <c r="G4" s="11">
        <f t="shared" si="4"/>
        <v>81.33</v>
      </c>
      <c r="H4" s="10">
        <f t="shared" si="5"/>
        <v>73.772</v>
      </c>
      <c r="I4" s="10">
        <f t="shared" si="6"/>
        <v>183.26</v>
      </c>
      <c r="J4" s="12">
        <f t="shared" si="7"/>
        <v>225.329</v>
      </c>
      <c r="K4" s="13">
        <f t="shared" si="8"/>
        <v>0.883</v>
      </c>
      <c r="L4" s="10">
        <f t="shared" si="9"/>
        <v>0.21</v>
      </c>
      <c r="M4" s="10">
        <f t="shared" si="10"/>
        <v>0.5216689195</v>
      </c>
      <c r="N4" s="14">
        <f t="shared" si="11"/>
        <v>59.08</v>
      </c>
      <c r="O4" s="9">
        <f t="shared" si="12"/>
        <v>127</v>
      </c>
      <c r="P4" s="9">
        <f t="shared" si="13"/>
        <v>2.36</v>
      </c>
    </row>
    <row r="5">
      <c r="A5" s="8">
        <v>4.0</v>
      </c>
      <c r="B5" s="8">
        <v>0.04</v>
      </c>
      <c r="C5" s="8">
        <v>0.835</v>
      </c>
      <c r="D5" s="9">
        <f t="shared" si="1"/>
        <v>225.68</v>
      </c>
      <c r="E5" s="9">
        <f t="shared" si="2"/>
        <v>0.72</v>
      </c>
      <c r="F5" s="10">
        <f t="shared" si="3"/>
        <v>3.182446305</v>
      </c>
      <c r="G5" s="11">
        <f t="shared" si="4"/>
        <v>117.42</v>
      </c>
      <c r="H5" s="10">
        <f t="shared" si="5"/>
        <v>94.008</v>
      </c>
      <c r="I5" s="10">
        <f t="shared" si="6"/>
        <v>149.59</v>
      </c>
      <c r="J5" s="12">
        <f t="shared" si="7"/>
        <v>127.397</v>
      </c>
      <c r="K5" s="13">
        <f t="shared" si="8"/>
        <v>0.843</v>
      </c>
      <c r="L5" s="10">
        <f t="shared" si="9"/>
        <v>0.19</v>
      </c>
      <c r="M5" s="10">
        <f t="shared" si="10"/>
        <v>0.302332399</v>
      </c>
      <c r="N5" s="14">
        <f t="shared" si="11"/>
        <v>35.86</v>
      </c>
      <c r="O5" s="9">
        <f t="shared" si="12"/>
        <v>127</v>
      </c>
      <c r="P5" s="9">
        <f t="shared" si="13"/>
        <v>3.15</v>
      </c>
    </row>
    <row r="6">
      <c r="A6" s="8">
        <v>5.0</v>
      </c>
      <c r="B6" s="8">
        <v>0.004</v>
      </c>
      <c r="C6" s="8">
        <v>0.234</v>
      </c>
      <c r="D6" s="9">
        <f t="shared" si="1"/>
        <v>71.36</v>
      </c>
      <c r="E6" s="9">
        <f t="shared" si="2"/>
        <v>0.92</v>
      </c>
      <c r="F6" s="10">
        <f t="shared" si="3"/>
        <v>2.776445105</v>
      </c>
      <c r="G6" s="11">
        <f t="shared" si="4"/>
        <v>108.21</v>
      </c>
      <c r="H6" s="10">
        <f t="shared" si="5"/>
        <v>83.978</v>
      </c>
      <c r="I6" s="10">
        <f t="shared" si="6"/>
        <v>104.27</v>
      </c>
      <c r="J6" s="12">
        <f t="shared" si="7"/>
        <v>96.359</v>
      </c>
      <c r="K6" s="13">
        <f t="shared" si="8"/>
        <v>0.858</v>
      </c>
      <c r="L6" s="10">
        <f t="shared" si="9"/>
        <v>0.168</v>
      </c>
      <c r="M6" s="10">
        <f t="shared" si="10"/>
        <v>0.2085995517</v>
      </c>
      <c r="N6" s="14">
        <f t="shared" si="11"/>
        <v>24.31</v>
      </c>
      <c r="O6" s="9">
        <f t="shared" si="12"/>
        <v>127</v>
      </c>
      <c r="P6" s="9">
        <f t="shared" si="13"/>
        <v>3.94</v>
      </c>
    </row>
    <row r="7">
      <c r="A7" s="8">
        <v>6.0</v>
      </c>
      <c r="B7" s="8">
        <v>0.001</v>
      </c>
      <c r="C7" s="8">
        <v>0.127</v>
      </c>
      <c r="D7" s="9">
        <f t="shared" si="1"/>
        <v>35.68</v>
      </c>
      <c r="E7" s="9">
        <f t="shared" si="2"/>
        <v>0.78</v>
      </c>
      <c r="F7" s="10">
        <f t="shared" si="3"/>
        <v>2.570581836</v>
      </c>
      <c r="G7" s="11">
        <f t="shared" si="4"/>
        <v>96.12</v>
      </c>
      <c r="H7" s="10">
        <f t="shared" si="5"/>
        <v>80.737</v>
      </c>
      <c r="I7" s="10">
        <f t="shared" si="6"/>
        <v>84.73</v>
      </c>
      <c r="J7" s="12">
        <f t="shared" si="7"/>
        <v>88.15</v>
      </c>
      <c r="K7" s="13">
        <f t="shared" si="8"/>
        <v>0.845</v>
      </c>
      <c r="L7" s="10">
        <f t="shared" si="9"/>
        <v>0.154</v>
      </c>
      <c r="M7" s="10">
        <f t="shared" si="10"/>
        <v>0.1616130885</v>
      </c>
      <c r="N7" s="14">
        <f t="shared" si="11"/>
        <v>19.13</v>
      </c>
      <c r="O7" s="9">
        <f t="shared" si="12"/>
        <v>127</v>
      </c>
      <c r="P7" s="9">
        <f t="shared" si="13"/>
        <v>4.72</v>
      </c>
    </row>
    <row r="8">
      <c r="A8" s="8">
        <v>7.0</v>
      </c>
      <c r="B8" s="15">
        <v>0.002</v>
      </c>
      <c r="C8" s="8">
        <v>0.174</v>
      </c>
      <c r="D8" s="9">
        <f t="shared" si="1"/>
        <v>50.46</v>
      </c>
      <c r="E8" s="16">
        <f t="shared" si="2"/>
        <v>0.83</v>
      </c>
      <c r="F8" s="10">
        <f t="shared" si="3"/>
        <v>2.446911851</v>
      </c>
      <c r="G8" s="11">
        <f t="shared" si="4"/>
        <v>89.6</v>
      </c>
      <c r="H8" s="10">
        <f t="shared" si="5"/>
        <v>75.696</v>
      </c>
      <c r="I8" s="10">
        <f t="shared" si="6"/>
        <v>70.01</v>
      </c>
      <c r="J8" s="12">
        <f t="shared" si="7"/>
        <v>78.136</v>
      </c>
      <c r="K8" s="13">
        <f t="shared" si="8"/>
        <v>0.843</v>
      </c>
      <c r="L8" s="10">
        <f t="shared" si="9"/>
        <v>0.141</v>
      </c>
      <c r="M8" s="10">
        <f t="shared" si="10"/>
        <v>0.1304032505</v>
      </c>
      <c r="N8" s="14">
        <f t="shared" si="11"/>
        <v>15.47</v>
      </c>
      <c r="O8" s="9">
        <f t="shared" si="12"/>
        <v>127</v>
      </c>
      <c r="P8" s="9">
        <f t="shared" si="13"/>
        <v>5.51</v>
      </c>
    </row>
    <row r="9">
      <c r="A9" s="8">
        <v>8.0</v>
      </c>
      <c r="B9" s="8">
        <v>0.002</v>
      </c>
      <c r="C9" s="8">
        <v>0.158</v>
      </c>
      <c r="D9" s="9">
        <f t="shared" si="1"/>
        <v>50.46</v>
      </c>
      <c r="E9" s="9">
        <f t="shared" si="2"/>
        <v>1.01</v>
      </c>
      <c r="F9" s="10">
        <f t="shared" si="3"/>
        <v>2.364624252</v>
      </c>
      <c r="G9" s="11">
        <f t="shared" si="4"/>
        <v>84.7</v>
      </c>
      <c r="H9" s="10">
        <f t="shared" si="5"/>
        <v>71.434</v>
      </c>
      <c r="I9" s="10">
        <f t="shared" si="6"/>
        <v>59.72</v>
      </c>
      <c r="J9" s="12">
        <f t="shared" si="7"/>
        <v>70.508</v>
      </c>
      <c r="K9" s="13">
        <f t="shared" si="8"/>
        <v>0.864</v>
      </c>
      <c r="L9" s="10">
        <f t="shared" si="9"/>
        <v>0.143</v>
      </c>
      <c r="M9" s="10">
        <f t="shared" si="10"/>
        <v>0.1195509918</v>
      </c>
      <c r="N9" s="14">
        <f t="shared" si="11"/>
        <v>13.84</v>
      </c>
      <c r="O9" s="9">
        <f t="shared" si="12"/>
        <v>127</v>
      </c>
      <c r="P9" s="9">
        <f t="shared" si="13"/>
        <v>6.3</v>
      </c>
    </row>
    <row r="10">
      <c r="A10" s="8">
        <v>9.0</v>
      </c>
      <c r="B10" s="15">
        <v>5.793E-4</v>
      </c>
      <c r="C10" s="8">
        <v>0.087</v>
      </c>
      <c r="D10" s="9">
        <f t="shared" si="1"/>
        <v>27.16</v>
      </c>
      <c r="E10" s="16">
        <f t="shared" si="2"/>
        <v>0.96</v>
      </c>
      <c r="F10" s="10">
        <f t="shared" si="3"/>
        <v>2.306004135</v>
      </c>
      <c r="G10" s="11">
        <f t="shared" si="4"/>
        <v>78.31</v>
      </c>
      <c r="H10" s="10">
        <f t="shared" si="5"/>
        <v>69.519</v>
      </c>
      <c r="I10" s="10">
        <f t="shared" si="6"/>
        <v>53.44</v>
      </c>
      <c r="J10" s="12">
        <f t="shared" si="7"/>
        <v>68.242</v>
      </c>
      <c r="K10" s="13">
        <f t="shared" si="8"/>
        <v>0.874</v>
      </c>
      <c r="L10" s="10">
        <f t="shared" si="9"/>
        <v>0.137</v>
      </c>
      <c r="M10" s="10">
        <f t="shared" si="10"/>
        <v>0.1053075222</v>
      </c>
      <c r="N10" s="14">
        <f t="shared" si="11"/>
        <v>12.05</v>
      </c>
      <c r="O10" s="9">
        <f t="shared" si="12"/>
        <v>127</v>
      </c>
      <c r="P10" s="9">
        <f t="shared" si="13"/>
        <v>7.09</v>
      </c>
    </row>
    <row r="11">
      <c r="A11" s="8">
        <v>10.0</v>
      </c>
      <c r="B11" s="15">
        <v>7.384E-4</v>
      </c>
      <c r="C11" s="8">
        <v>0.099</v>
      </c>
      <c r="D11" s="9">
        <f t="shared" si="1"/>
        <v>30.66</v>
      </c>
      <c r="E11" s="16">
        <f t="shared" si="2"/>
        <v>0.95</v>
      </c>
      <c r="F11" s="10">
        <f t="shared" si="3"/>
        <v>2.262157163</v>
      </c>
      <c r="G11" s="11">
        <f t="shared" si="4"/>
        <v>73.55</v>
      </c>
      <c r="H11" s="10">
        <f t="shared" si="5"/>
        <v>67.253</v>
      </c>
      <c r="I11" s="10">
        <f t="shared" si="6"/>
        <v>48.11</v>
      </c>
      <c r="J11" s="12">
        <f t="shared" si="7"/>
        <v>65.411</v>
      </c>
      <c r="K11" s="13">
        <f t="shared" si="8"/>
        <v>0.882</v>
      </c>
      <c r="L11" s="10">
        <f t="shared" si="9"/>
        <v>0.132</v>
      </c>
      <c r="M11" s="10">
        <f t="shared" si="10"/>
        <v>0.09442711159</v>
      </c>
      <c r="N11" s="14">
        <f t="shared" si="11"/>
        <v>10.71</v>
      </c>
      <c r="O11" s="9">
        <f t="shared" si="12"/>
        <v>127</v>
      </c>
      <c r="P11" s="9">
        <f t="shared" si="13"/>
        <v>7.87</v>
      </c>
    </row>
    <row r="12">
      <c r="A12" s="8">
        <v>11.0</v>
      </c>
      <c r="B12" s="8">
        <v>0.004</v>
      </c>
      <c r="C12" s="8">
        <v>0.236</v>
      </c>
      <c r="D12" s="9">
        <f t="shared" si="1"/>
        <v>71.36</v>
      </c>
      <c r="E12" s="9">
        <f t="shared" si="2"/>
        <v>0.9</v>
      </c>
      <c r="F12" s="10">
        <f t="shared" si="3"/>
        <v>2.228138852</v>
      </c>
      <c r="G12" s="11">
        <f t="shared" si="4"/>
        <v>73.35</v>
      </c>
      <c r="H12" s="10">
        <f t="shared" si="5"/>
        <v>63.805</v>
      </c>
      <c r="I12" s="10">
        <f t="shared" si="6"/>
        <v>42.86</v>
      </c>
      <c r="J12" s="12">
        <f t="shared" si="7"/>
        <v>58.432</v>
      </c>
      <c r="K12" s="13">
        <f t="shared" si="8"/>
        <v>0.884</v>
      </c>
      <c r="L12" s="10">
        <f t="shared" si="9"/>
        <v>0.125</v>
      </c>
      <c r="M12" s="10">
        <f t="shared" si="10"/>
        <v>0.08397614265</v>
      </c>
      <c r="N12" s="14">
        <f t="shared" si="11"/>
        <v>9.5</v>
      </c>
      <c r="O12" s="9">
        <f t="shared" si="12"/>
        <v>127</v>
      </c>
      <c r="P12" s="9">
        <f t="shared" si="13"/>
        <v>8.66</v>
      </c>
    </row>
    <row r="13">
      <c r="A13" s="8">
        <v>12.0</v>
      </c>
      <c r="B13" s="8">
        <v>0.002</v>
      </c>
      <c r="C13" s="8">
        <v>0.162</v>
      </c>
      <c r="D13" s="9">
        <f t="shared" si="1"/>
        <v>50.46</v>
      </c>
      <c r="E13" s="9">
        <f t="shared" si="2"/>
        <v>0.96</v>
      </c>
      <c r="F13" s="10">
        <f t="shared" si="3"/>
        <v>2.20098516</v>
      </c>
      <c r="G13" s="11">
        <f t="shared" si="4"/>
        <v>71.44</v>
      </c>
      <c r="H13" s="10">
        <f t="shared" si="5"/>
        <v>61.193</v>
      </c>
      <c r="I13" s="10">
        <f t="shared" si="6"/>
        <v>38.88</v>
      </c>
      <c r="J13" s="12">
        <f t="shared" si="7"/>
        <v>54.423</v>
      </c>
      <c r="K13" s="13">
        <f t="shared" si="8"/>
        <v>0.89</v>
      </c>
      <c r="L13" s="10">
        <f t="shared" si="9"/>
        <v>0.121</v>
      </c>
      <c r="M13" s="10">
        <f t="shared" si="10"/>
        <v>0.07687973217</v>
      </c>
      <c r="N13" s="14">
        <f t="shared" si="11"/>
        <v>8.64</v>
      </c>
      <c r="O13" s="9">
        <f t="shared" si="12"/>
        <v>127</v>
      </c>
      <c r="P13" s="9">
        <f t="shared" si="13"/>
        <v>9.45</v>
      </c>
    </row>
    <row r="14">
      <c r="A14" s="8">
        <v>13.0</v>
      </c>
      <c r="B14" s="8">
        <v>0.002</v>
      </c>
      <c r="C14" s="8">
        <v>0.168</v>
      </c>
      <c r="D14" s="9">
        <f t="shared" si="1"/>
        <v>50.46</v>
      </c>
      <c r="E14" s="9">
        <f t="shared" si="2"/>
        <v>0.89</v>
      </c>
      <c r="F14" s="10">
        <f t="shared" si="3"/>
        <v>2.17881283</v>
      </c>
      <c r="G14" s="11">
        <f t="shared" si="4"/>
        <v>69.83</v>
      </c>
      <c r="H14" s="10">
        <f t="shared" si="5"/>
        <v>58.876</v>
      </c>
      <c r="I14" s="10">
        <f t="shared" si="6"/>
        <v>35.58</v>
      </c>
      <c r="J14" s="12">
        <f t="shared" si="7"/>
        <v>50.952</v>
      </c>
      <c r="K14" s="13">
        <f t="shared" si="8"/>
        <v>0.89</v>
      </c>
      <c r="L14" s="10">
        <f t="shared" si="9"/>
        <v>0.116</v>
      </c>
      <c r="M14" s="10">
        <f t="shared" si="10"/>
        <v>0.07009809844</v>
      </c>
      <c r="N14" s="14">
        <f t="shared" si="11"/>
        <v>7.88</v>
      </c>
      <c r="O14" s="9">
        <f t="shared" si="12"/>
        <v>127</v>
      </c>
      <c r="P14" s="9">
        <f t="shared" si="13"/>
        <v>10.24</v>
      </c>
    </row>
    <row r="15">
      <c r="A15" s="8">
        <v>14.0</v>
      </c>
      <c r="B15" s="15">
        <v>2.992E-4</v>
      </c>
      <c r="C15" s="8">
        <v>0.061</v>
      </c>
      <c r="D15" s="9">
        <f t="shared" si="1"/>
        <v>19.52</v>
      </c>
      <c r="E15" s="16">
        <f t="shared" si="2"/>
        <v>1.01</v>
      </c>
      <c r="F15" s="10">
        <f t="shared" si="3"/>
        <v>2.160368656</v>
      </c>
      <c r="G15" s="11">
        <f t="shared" si="4"/>
        <v>66.23</v>
      </c>
      <c r="H15" s="10">
        <f t="shared" si="5"/>
        <v>58.143</v>
      </c>
      <c r="I15" s="10">
        <f t="shared" si="6"/>
        <v>33.57</v>
      </c>
      <c r="J15" s="12">
        <f t="shared" si="7"/>
        <v>50.687</v>
      </c>
      <c r="K15" s="13">
        <f t="shared" si="8"/>
        <v>0.899</v>
      </c>
      <c r="L15" s="10">
        <f t="shared" si="9"/>
        <v>0.116</v>
      </c>
      <c r="M15" s="10">
        <f t="shared" si="10"/>
        <v>0.06697640597</v>
      </c>
      <c r="N15" s="14">
        <f t="shared" si="11"/>
        <v>7.45</v>
      </c>
      <c r="O15" s="9">
        <f t="shared" si="12"/>
        <v>127</v>
      </c>
      <c r="P15" s="9">
        <f t="shared" si="13"/>
        <v>11.02</v>
      </c>
    </row>
    <row r="16">
      <c r="A16" s="8">
        <v>15.0</v>
      </c>
      <c r="B16" s="8">
        <v>0.022</v>
      </c>
      <c r="C16" s="8">
        <v>0.973</v>
      </c>
      <c r="D16" s="9">
        <f t="shared" si="1"/>
        <v>167.37</v>
      </c>
      <c r="E16" s="9">
        <f t="shared" si="2"/>
        <v>0.29</v>
      </c>
      <c r="F16" s="10">
        <f t="shared" si="3"/>
        <v>2.144786688</v>
      </c>
      <c r="G16" s="11">
        <f t="shared" si="4"/>
        <v>72.97</v>
      </c>
      <c r="H16" s="10">
        <f t="shared" si="5"/>
        <v>61.814</v>
      </c>
      <c r="I16" s="10">
        <f t="shared" si="6"/>
        <v>34.23</v>
      </c>
      <c r="J16" s="12">
        <f t="shared" si="7"/>
        <v>46.91</v>
      </c>
      <c r="K16" s="13">
        <f t="shared" si="8"/>
        <v>0.858</v>
      </c>
      <c r="L16" s="10">
        <f t="shared" si="9"/>
        <v>0.193</v>
      </c>
      <c r="M16" s="10">
        <f t="shared" si="10"/>
        <v>0.1068798375</v>
      </c>
      <c r="N16" s="14">
        <f t="shared" si="11"/>
        <v>12.46</v>
      </c>
      <c r="O16" s="9">
        <f t="shared" si="12"/>
        <v>127</v>
      </c>
      <c r="P16" s="9">
        <f t="shared" si="13"/>
        <v>11.81</v>
      </c>
    </row>
    <row r="17">
      <c r="A17" s="8">
        <v>16.0</v>
      </c>
      <c r="B17" s="8">
        <v>0.016</v>
      </c>
      <c r="C17" s="8">
        <v>0.531</v>
      </c>
      <c r="D17" s="9">
        <f t="shared" si="1"/>
        <v>142.73</v>
      </c>
      <c r="E17" s="9">
        <f t="shared" si="2"/>
        <v>0.71</v>
      </c>
      <c r="F17" s="10">
        <f t="shared" si="3"/>
        <v>2.131449546</v>
      </c>
      <c r="G17" s="11">
        <f t="shared" si="4"/>
        <v>77.33</v>
      </c>
      <c r="H17" s="10">
        <f t="shared" si="5"/>
        <v>62.212</v>
      </c>
      <c r="I17" s="10">
        <f t="shared" si="6"/>
        <v>33.15</v>
      </c>
      <c r="J17" s="12">
        <f t="shared" si="7"/>
        <v>42.868</v>
      </c>
      <c r="K17" s="13">
        <f t="shared" si="8"/>
        <v>0.849</v>
      </c>
      <c r="L17" s="10">
        <f t="shared" si="9"/>
        <v>0.19</v>
      </c>
      <c r="M17" s="10">
        <f t="shared" si="10"/>
        <v>0.1012438534</v>
      </c>
      <c r="N17" s="14">
        <f t="shared" si="11"/>
        <v>11.93</v>
      </c>
      <c r="O17" s="9">
        <f t="shared" si="12"/>
        <v>127</v>
      </c>
      <c r="P17" s="9">
        <f t="shared" si="13"/>
        <v>12.6</v>
      </c>
    </row>
    <row r="18">
      <c r="A18" s="8">
        <v>17.0</v>
      </c>
      <c r="B18" s="8">
        <v>0.075</v>
      </c>
      <c r="C18" s="8">
        <v>1.315</v>
      </c>
      <c r="D18" s="9">
        <f t="shared" si="1"/>
        <v>309.02</v>
      </c>
      <c r="E18" s="9">
        <f t="shared" si="2"/>
        <v>0.55</v>
      </c>
      <c r="F18" s="10">
        <f t="shared" si="3"/>
        <v>2.119905299</v>
      </c>
      <c r="G18" s="11">
        <f t="shared" si="4"/>
        <v>90.96</v>
      </c>
      <c r="H18" s="10">
        <f t="shared" si="5"/>
        <v>82.377</v>
      </c>
      <c r="I18" s="10">
        <f t="shared" si="6"/>
        <v>42.35</v>
      </c>
      <c r="J18" s="12">
        <f t="shared" si="7"/>
        <v>46.559</v>
      </c>
      <c r="K18" s="13">
        <f t="shared" si="8"/>
        <v>0.831</v>
      </c>
      <c r="L18" s="10">
        <f t="shared" si="9"/>
        <v>0.198</v>
      </c>
      <c r="M18" s="10">
        <f t="shared" si="10"/>
        <v>0.1018022062</v>
      </c>
      <c r="N18" s="14">
        <f t="shared" si="11"/>
        <v>12.25</v>
      </c>
      <c r="O18" s="9">
        <f t="shared" si="12"/>
        <v>127</v>
      </c>
      <c r="P18" s="9">
        <f t="shared" si="13"/>
        <v>13.39</v>
      </c>
    </row>
    <row r="19">
      <c r="A19" s="8">
        <v>18.0</v>
      </c>
      <c r="B19" s="15">
        <v>7.384E-4</v>
      </c>
      <c r="C19" s="8">
        <v>0.098</v>
      </c>
      <c r="D19" s="9">
        <f t="shared" si="1"/>
        <v>30.66</v>
      </c>
      <c r="E19" s="16">
        <f t="shared" si="2"/>
        <v>0.97</v>
      </c>
      <c r="F19" s="10">
        <f t="shared" si="3"/>
        <v>2.109815578</v>
      </c>
      <c r="G19" s="11">
        <f t="shared" si="4"/>
        <v>87.61</v>
      </c>
      <c r="H19" s="10">
        <f t="shared" si="5"/>
        <v>81.172</v>
      </c>
      <c r="I19" s="10">
        <f t="shared" si="6"/>
        <v>40.37</v>
      </c>
      <c r="J19" s="12">
        <f t="shared" si="7"/>
        <v>46.079</v>
      </c>
      <c r="K19" s="13">
        <f t="shared" si="8"/>
        <v>0.839</v>
      </c>
      <c r="L19" s="10">
        <f t="shared" si="9"/>
        <v>0.195</v>
      </c>
      <c r="M19" s="10">
        <f t="shared" si="10"/>
        <v>0.09697121864</v>
      </c>
      <c r="N19" s="14">
        <f t="shared" si="11"/>
        <v>11.56</v>
      </c>
      <c r="O19" s="9">
        <f t="shared" si="12"/>
        <v>127</v>
      </c>
      <c r="P19" s="9">
        <f t="shared" si="13"/>
        <v>14.17</v>
      </c>
    </row>
    <row r="20">
      <c r="A20" s="8">
        <v>19.0</v>
      </c>
      <c r="B20" s="15">
        <v>4.838E-4</v>
      </c>
      <c r="C20" s="8">
        <v>0.079</v>
      </c>
      <c r="D20" s="9">
        <f t="shared" si="1"/>
        <v>24.82</v>
      </c>
      <c r="E20" s="16">
        <f t="shared" si="2"/>
        <v>0.97</v>
      </c>
      <c r="F20" s="10">
        <f t="shared" si="3"/>
        <v>2.10092204</v>
      </c>
      <c r="G20" s="11">
        <f t="shared" si="4"/>
        <v>84.31</v>
      </c>
      <c r="H20" s="10">
        <f t="shared" si="5"/>
        <v>80.189</v>
      </c>
      <c r="I20" s="10">
        <f t="shared" si="6"/>
        <v>38.65</v>
      </c>
      <c r="J20" s="12">
        <f t="shared" si="7"/>
        <v>45.843</v>
      </c>
      <c r="K20" s="13">
        <f t="shared" si="8"/>
        <v>0.846</v>
      </c>
      <c r="L20" s="10">
        <f t="shared" si="9"/>
        <v>0.191</v>
      </c>
      <c r="M20" s="10">
        <f t="shared" si="10"/>
        <v>0.09205905319</v>
      </c>
      <c r="N20" s="14">
        <f t="shared" si="11"/>
        <v>10.88</v>
      </c>
      <c r="O20" s="9">
        <f t="shared" si="12"/>
        <v>127</v>
      </c>
      <c r="P20" s="9">
        <f t="shared" si="13"/>
        <v>14.96</v>
      </c>
    </row>
    <row r="21">
      <c r="A21" s="8">
        <v>20.0</v>
      </c>
      <c r="B21" s="15">
        <v>0.002</v>
      </c>
      <c r="C21" s="8">
        <v>0.167</v>
      </c>
      <c r="D21" s="9">
        <f t="shared" si="1"/>
        <v>50.46</v>
      </c>
      <c r="E21" s="16">
        <f t="shared" si="2"/>
        <v>0.9</v>
      </c>
      <c r="F21" s="10">
        <f t="shared" si="3"/>
        <v>2.093024054</v>
      </c>
      <c r="G21" s="11">
        <f t="shared" si="4"/>
        <v>82.62</v>
      </c>
      <c r="H21" s="10">
        <f t="shared" si="5"/>
        <v>78.417</v>
      </c>
      <c r="I21" s="10">
        <f t="shared" si="6"/>
        <v>36.7</v>
      </c>
      <c r="J21" s="12">
        <f t="shared" si="7"/>
        <v>44.42</v>
      </c>
      <c r="K21" s="13">
        <f t="shared" si="8"/>
        <v>0.849</v>
      </c>
      <c r="L21" s="10">
        <f t="shared" si="9"/>
        <v>0.187</v>
      </c>
      <c r="M21" s="10">
        <f t="shared" si="10"/>
        <v>0.087518694</v>
      </c>
      <c r="N21" s="14">
        <f t="shared" si="11"/>
        <v>10.31</v>
      </c>
      <c r="O21" s="9">
        <f t="shared" si="12"/>
        <v>127</v>
      </c>
      <c r="P21" s="9">
        <f t="shared" si="13"/>
        <v>15.75</v>
      </c>
    </row>
    <row r="22">
      <c r="A22" s="8">
        <v>21.0</v>
      </c>
      <c r="B22" s="8">
        <v>0.002</v>
      </c>
      <c r="C22" s="8">
        <v>0.153</v>
      </c>
      <c r="D22" s="9">
        <f t="shared" si="1"/>
        <v>50.46</v>
      </c>
      <c r="E22" s="9">
        <f t="shared" si="2"/>
        <v>1.07</v>
      </c>
      <c r="F22" s="10">
        <f t="shared" si="3"/>
        <v>2.085963447</v>
      </c>
      <c r="G22" s="11">
        <f t="shared" si="4"/>
        <v>81.08</v>
      </c>
      <c r="H22" s="10">
        <f t="shared" si="5"/>
        <v>76.753</v>
      </c>
      <c r="I22" s="10">
        <f t="shared" si="6"/>
        <v>34.94</v>
      </c>
      <c r="J22" s="12">
        <f t="shared" si="7"/>
        <v>43.093</v>
      </c>
      <c r="K22" s="13">
        <f t="shared" si="8"/>
        <v>0.859</v>
      </c>
      <c r="L22" s="10">
        <f t="shared" si="9"/>
        <v>0.188</v>
      </c>
      <c r="M22" s="10">
        <f t="shared" si="10"/>
        <v>0.085576574</v>
      </c>
      <c r="N22" s="14">
        <f t="shared" si="11"/>
        <v>9.96</v>
      </c>
      <c r="O22" s="9">
        <f t="shared" si="12"/>
        <v>127</v>
      </c>
      <c r="P22" s="9">
        <f t="shared" si="13"/>
        <v>16.54</v>
      </c>
    </row>
    <row r="23">
      <c r="A23" s="8">
        <v>22.0</v>
      </c>
      <c r="B23" s="15">
        <v>1.655E-4</v>
      </c>
      <c r="C23" s="8">
        <v>0.045</v>
      </c>
      <c r="D23" s="9">
        <f t="shared" si="1"/>
        <v>14.52</v>
      </c>
      <c r="E23" s="16">
        <f t="shared" si="2"/>
        <v>1.03</v>
      </c>
      <c r="F23" s="10">
        <f t="shared" si="3"/>
        <v>2.079613845</v>
      </c>
      <c r="G23" s="11">
        <f t="shared" si="4"/>
        <v>78.06</v>
      </c>
      <c r="H23" s="10">
        <f t="shared" si="5"/>
        <v>76.235</v>
      </c>
      <c r="I23" s="10">
        <f t="shared" si="6"/>
        <v>33.8</v>
      </c>
      <c r="J23" s="12">
        <f t="shared" si="7"/>
        <v>43.3</v>
      </c>
      <c r="K23" s="13">
        <f t="shared" si="8"/>
        <v>0.867</v>
      </c>
      <c r="L23" s="10">
        <f t="shared" si="9"/>
        <v>0.187</v>
      </c>
      <c r="M23" s="10">
        <f t="shared" si="10"/>
        <v>0.08291115519</v>
      </c>
      <c r="N23" s="14">
        <f t="shared" si="11"/>
        <v>9.56</v>
      </c>
      <c r="O23" s="9">
        <f t="shared" si="12"/>
        <v>127</v>
      </c>
      <c r="P23" s="9">
        <f t="shared" si="13"/>
        <v>17.32</v>
      </c>
    </row>
    <row r="24">
      <c r="A24" s="8">
        <v>23.0</v>
      </c>
      <c r="B24" s="15">
        <v>8.275E-5</v>
      </c>
      <c r="C24" s="8">
        <v>0.03</v>
      </c>
      <c r="D24" s="9">
        <f t="shared" si="1"/>
        <v>10.26</v>
      </c>
      <c r="E24" s="16">
        <f t="shared" si="2"/>
        <v>1.16</v>
      </c>
      <c r="F24" s="10">
        <f t="shared" si="3"/>
        <v>2.073873068</v>
      </c>
      <c r="G24" s="11">
        <f t="shared" si="4"/>
        <v>75.11</v>
      </c>
      <c r="H24" s="10">
        <f t="shared" si="5"/>
        <v>75.812</v>
      </c>
      <c r="I24" s="10">
        <f t="shared" si="6"/>
        <v>32.78</v>
      </c>
      <c r="J24" s="12">
        <f t="shared" si="7"/>
        <v>43.643</v>
      </c>
      <c r="K24" s="13">
        <f t="shared" si="8"/>
        <v>0.88</v>
      </c>
      <c r="L24" s="10">
        <f t="shared" si="9"/>
        <v>0.193</v>
      </c>
      <c r="M24" s="10">
        <f t="shared" si="10"/>
        <v>0.08345945852</v>
      </c>
      <c r="N24" s="14">
        <f t="shared" si="11"/>
        <v>9.48</v>
      </c>
      <c r="O24" s="9">
        <f t="shared" si="12"/>
        <v>127</v>
      </c>
      <c r="P24" s="9">
        <f t="shared" si="13"/>
        <v>18.11</v>
      </c>
    </row>
    <row r="25">
      <c r="A25" s="8">
        <v>24.0</v>
      </c>
      <c r="B25" s="8">
        <v>0.003</v>
      </c>
      <c r="C25" s="8">
        <v>0.188</v>
      </c>
      <c r="D25" s="9">
        <f t="shared" si="1"/>
        <v>61.8</v>
      </c>
      <c r="E25" s="9">
        <f t="shared" si="2"/>
        <v>1.07</v>
      </c>
      <c r="F25" s="10">
        <f t="shared" si="3"/>
        <v>2.06865761</v>
      </c>
      <c r="G25" s="11">
        <f t="shared" si="4"/>
        <v>74.56</v>
      </c>
      <c r="H25" s="10">
        <f t="shared" si="5"/>
        <v>74.196</v>
      </c>
      <c r="I25" s="10">
        <f t="shared" si="6"/>
        <v>31.33</v>
      </c>
      <c r="J25" s="12">
        <f t="shared" si="7"/>
        <v>42.02</v>
      </c>
      <c r="K25" s="13">
        <f t="shared" si="8"/>
        <v>0.888</v>
      </c>
      <c r="L25" s="10">
        <f t="shared" si="9"/>
        <v>0.193</v>
      </c>
      <c r="M25" s="10">
        <f t="shared" si="10"/>
        <v>0.08149675254</v>
      </c>
      <c r="N25" s="14">
        <f t="shared" si="11"/>
        <v>9.18</v>
      </c>
      <c r="O25" s="9">
        <f t="shared" si="12"/>
        <v>127</v>
      </c>
      <c r="P25" s="9">
        <f t="shared" si="13"/>
        <v>18.9</v>
      </c>
    </row>
    <row r="26">
      <c r="A26" s="8">
        <v>25.0</v>
      </c>
      <c r="B26" s="15">
        <v>0.002</v>
      </c>
      <c r="C26" s="8">
        <v>0.183</v>
      </c>
      <c r="D26" s="9">
        <f t="shared" si="1"/>
        <v>50.46</v>
      </c>
      <c r="E26" s="16">
        <f t="shared" si="2"/>
        <v>0.75</v>
      </c>
      <c r="F26" s="10">
        <f t="shared" si="3"/>
        <v>2.063898562</v>
      </c>
      <c r="G26" s="11">
        <f t="shared" si="4"/>
        <v>73.59</v>
      </c>
      <c r="H26" s="10">
        <f t="shared" si="5"/>
        <v>72.793</v>
      </c>
      <c r="I26" s="10">
        <f t="shared" si="6"/>
        <v>30.05</v>
      </c>
      <c r="J26" s="12">
        <f t="shared" si="7"/>
        <v>40.834</v>
      </c>
      <c r="K26" s="13">
        <f t="shared" si="8"/>
        <v>0.882</v>
      </c>
      <c r="L26" s="10">
        <f t="shared" si="9"/>
        <v>0.191</v>
      </c>
      <c r="M26" s="10">
        <f t="shared" si="10"/>
        <v>0.07884092505</v>
      </c>
      <c r="N26" s="14">
        <f t="shared" si="11"/>
        <v>8.94</v>
      </c>
      <c r="O26" s="9">
        <f t="shared" si="12"/>
        <v>127</v>
      </c>
      <c r="P26" s="9">
        <f t="shared" si="13"/>
        <v>19.69</v>
      </c>
    </row>
    <row r="27">
      <c r="A27" s="8">
        <v>26.0</v>
      </c>
      <c r="B27" s="15">
        <v>5.729E-5</v>
      </c>
      <c r="C27" s="8">
        <v>0.024</v>
      </c>
      <c r="D27" s="9">
        <f t="shared" si="1"/>
        <v>8.54</v>
      </c>
      <c r="E27" s="16">
        <f t="shared" si="2"/>
        <v>1.25</v>
      </c>
      <c r="F27" s="10">
        <f t="shared" si="3"/>
        <v>2.059538553</v>
      </c>
      <c r="G27" s="11">
        <f t="shared" si="4"/>
        <v>71.09</v>
      </c>
      <c r="H27" s="10">
        <f t="shared" si="5"/>
        <v>72.455</v>
      </c>
      <c r="I27" s="10">
        <f t="shared" si="6"/>
        <v>29.27</v>
      </c>
      <c r="J27" s="12">
        <f t="shared" si="7"/>
        <v>41.173</v>
      </c>
      <c r="K27" s="13">
        <f t="shared" si="8"/>
        <v>0.896</v>
      </c>
      <c r="L27" s="10">
        <f t="shared" si="9"/>
        <v>0.2</v>
      </c>
      <c r="M27" s="10">
        <f t="shared" si="10"/>
        <v>0.08078174823</v>
      </c>
      <c r="N27" s="14">
        <f t="shared" si="11"/>
        <v>9.02</v>
      </c>
      <c r="O27" s="9">
        <f t="shared" si="12"/>
        <v>127</v>
      </c>
      <c r="P27" s="9">
        <f t="shared" si="13"/>
        <v>20.47</v>
      </c>
    </row>
    <row r="28">
      <c r="A28" s="8">
        <v>27.0</v>
      </c>
      <c r="B28" s="15">
        <v>3.055E-4</v>
      </c>
      <c r="C28" s="8">
        <v>0.062</v>
      </c>
      <c r="D28" s="9">
        <f t="shared" si="1"/>
        <v>19.72</v>
      </c>
      <c r="E28" s="16">
        <f t="shared" si="2"/>
        <v>1</v>
      </c>
      <c r="F28" s="10">
        <f t="shared" si="3"/>
        <v>2.055529439</v>
      </c>
      <c r="G28" s="11">
        <f t="shared" si="4"/>
        <v>69.19</v>
      </c>
      <c r="H28" s="10">
        <f t="shared" si="5"/>
        <v>71.732</v>
      </c>
      <c r="I28" s="10">
        <f t="shared" si="6"/>
        <v>28.38</v>
      </c>
      <c r="J28" s="12">
        <f t="shared" si="7"/>
        <v>41.017</v>
      </c>
      <c r="K28" s="13">
        <f t="shared" si="8"/>
        <v>0.9</v>
      </c>
      <c r="L28" s="10">
        <f t="shared" si="9"/>
        <v>0.197</v>
      </c>
      <c r="M28" s="10">
        <f t="shared" si="10"/>
        <v>0.07793060451</v>
      </c>
      <c r="N28" s="14">
        <f t="shared" si="11"/>
        <v>8.66</v>
      </c>
      <c r="O28" s="9">
        <f t="shared" si="12"/>
        <v>127</v>
      </c>
      <c r="P28" s="9">
        <f t="shared" si="13"/>
        <v>21.26</v>
      </c>
    </row>
    <row r="29">
      <c r="A29" s="8">
        <v>28.0</v>
      </c>
      <c r="B29" s="15">
        <v>6.811E-4</v>
      </c>
      <c r="C29" s="8">
        <v>0.092</v>
      </c>
      <c r="D29" s="9">
        <f t="shared" si="1"/>
        <v>29.45</v>
      </c>
      <c r="E29" s="16">
        <f t="shared" si="2"/>
        <v>1.01</v>
      </c>
      <c r="F29" s="10">
        <f t="shared" si="3"/>
        <v>2.051830516</v>
      </c>
      <c r="G29" s="11">
        <f t="shared" si="4"/>
        <v>67.77</v>
      </c>
      <c r="H29" s="10">
        <f t="shared" si="5"/>
        <v>70.791</v>
      </c>
      <c r="I29" s="10">
        <f t="shared" si="6"/>
        <v>27.45</v>
      </c>
      <c r="J29" s="12">
        <f t="shared" si="7"/>
        <v>40.505</v>
      </c>
      <c r="K29" s="13">
        <f t="shared" si="8"/>
        <v>0.904</v>
      </c>
      <c r="L29" s="10">
        <f t="shared" si="9"/>
        <v>0.195</v>
      </c>
      <c r="M29" s="10">
        <f t="shared" si="10"/>
        <v>0.07561310639</v>
      </c>
      <c r="N29" s="14">
        <f t="shared" si="11"/>
        <v>8.36</v>
      </c>
      <c r="O29" s="9">
        <f t="shared" si="12"/>
        <v>127</v>
      </c>
      <c r="P29" s="9">
        <f t="shared" si="13"/>
        <v>22.05</v>
      </c>
    </row>
    <row r="30">
      <c r="A30" s="8">
        <v>29.0</v>
      </c>
      <c r="B30" s="8">
        <v>0.002</v>
      </c>
      <c r="C30" s="8">
        <v>0.186</v>
      </c>
      <c r="D30" s="9">
        <f t="shared" si="1"/>
        <v>50.46</v>
      </c>
      <c r="E30" s="9">
        <f t="shared" si="2"/>
        <v>0.73</v>
      </c>
      <c r="F30" s="10">
        <f t="shared" si="3"/>
        <v>2.048407142</v>
      </c>
      <c r="G30" s="11">
        <f t="shared" si="4"/>
        <v>67.17</v>
      </c>
      <c r="H30" s="10">
        <f t="shared" si="5"/>
        <v>69.589</v>
      </c>
      <c r="I30" s="10">
        <f t="shared" si="6"/>
        <v>26.47</v>
      </c>
      <c r="J30" s="12">
        <f t="shared" si="7"/>
        <v>39.407</v>
      </c>
      <c r="K30" s="13">
        <f t="shared" si="8"/>
        <v>0.898</v>
      </c>
      <c r="L30" s="10">
        <f t="shared" si="9"/>
        <v>0.194</v>
      </c>
      <c r="M30" s="10">
        <f t="shared" si="10"/>
        <v>0.07379365344</v>
      </c>
      <c r="N30" s="14">
        <f t="shared" si="11"/>
        <v>8.22</v>
      </c>
      <c r="O30" s="9">
        <f t="shared" si="12"/>
        <v>127</v>
      </c>
      <c r="P30" s="9">
        <f t="shared" si="13"/>
        <v>22.83</v>
      </c>
    </row>
    <row r="31">
      <c r="A31" s="8">
        <v>30.0</v>
      </c>
      <c r="B31" s="15">
        <v>4.774E-4</v>
      </c>
      <c r="C31" s="8">
        <v>0.079</v>
      </c>
      <c r="D31" s="9">
        <f t="shared" si="1"/>
        <v>24.65</v>
      </c>
      <c r="E31" s="16">
        <f t="shared" si="2"/>
        <v>0.96</v>
      </c>
      <c r="F31" s="10">
        <f t="shared" si="3"/>
        <v>2.045229642</v>
      </c>
      <c r="G31" s="11">
        <f t="shared" si="4"/>
        <v>65.75</v>
      </c>
      <c r="H31" s="10">
        <f t="shared" si="5"/>
        <v>68.818</v>
      </c>
      <c r="I31" s="10">
        <f t="shared" si="6"/>
        <v>25.7</v>
      </c>
      <c r="J31" s="12">
        <f t="shared" si="7"/>
        <v>39.087</v>
      </c>
      <c r="K31" s="13">
        <f t="shared" si="8"/>
        <v>0.9</v>
      </c>
      <c r="L31" s="10">
        <f t="shared" si="9"/>
        <v>0.191</v>
      </c>
      <c r="M31" s="10">
        <f t="shared" si="10"/>
        <v>0.07132057212</v>
      </c>
      <c r="N31" s="14">
        <f t="shared" si="11"/>
        <v>7.92</v>
      </c>
      <c r="O31" s="9">
        <f t="shared" si="12"/>
        <v>127</v>
      </c>
      <c r="P31" s="9">
        <f t="shared" si="13"/>
        <v>23.62</v>
      </c>
    </row>
    <row r="32">
      <c r="A32" s="8">
        <v>31.0</v>
      </c>
      <c r="B32" s="8">
        <v>0.001</v>
      </c>
      <c r="C32" s="8">
        <v>0.138</v>
      </c>
      <c r="D32" s="9">
        <f t="shared" si="1"/>
        <v>35.68</v>
      </c>
      <c r="E32" s="9">
        <f t="shared" si="2"/>
        <v>0.66</v>
      </c>
      <c r="F32" s="10">
        <f t="shared" si="3"/>
        <v>2.042272456</v>
      </c>
      <c r="G32" s="11">
        <f t="shared" si="4"/>
        <v>64.78</v>
      </c>
      <c r="H32" s="10">
        <f t="shared" si="5"/>
        <v>67.877</v>
      </c>
      <c r="I32" s="10">
        <f t="shared" si="6"/>
        <v>24.9</v>
      </c>
      <c r="J32" s="12">
        <f t="shared" si="7"/>
        <v>38.438</v>
      </c>
      <c r="K32" s="13">
        <f t="shared" si="8"/>
        <v>0.892</v>
      </c>
      <c r="L32" s="10">
        <f t="shared" si="9"/>
        <v>0.193</v>
      </c>
      <c r="M32" s="10">
        <f t="shared" si="10"/>
        <v>0.07079297154</v>
      </c>
      <c r="N32" s="14">
        <f t="shared" si="11"/>
        <v>7.94</v>
      </c>
      <c r="O32" s="9">
        <f t="shared" si="12"/>
        <v>127</v>
      </c>
      <c r="P32" s="9">
        <f t="shared" si="13"/>
        <v>24.41</v>
      </c>
    </row>
    <row r="33">
      <c r="A33" s="8">
        <v>32.0</v>
      </c>
      <c r="B33" s="15">
        <v>7.766E-4</v>
      </c>
      <c r="C33" s="8">
        <v>0.1</v>
      </c>
      <c r="D33" s="9">
        <f t="shared" si="1"/>
        <v>31.45</v>
      </c>
      <c r="E33" s="16">
        <f t="shared" si="2"/>
        <v>0.98</v>
      </c>
      <c r="F33" s="10">
        <f t="shared" si="3"/>
        <v>2.039513446</v>
      </c>
      <c r="G33" s="11">
        <f t="shared" si="4"/>
        <v>63.74</v>
      </c>
      <c r="H33" s="10">
        <f t="shared" si="5"/>
        <v>67.033</v>
      </c>
      <c r="I33" s="10">
        <f t="shared" si="6"/>
        <v>24.17</v>
      </c>
      <c r="J33" s="12">
        <f t="shared" si="7"/>
        <v>37.92</v>
      </c>
      <c r="K33" s="13">
        <f t="shared" si="8"/>
        <v>0.895</v>
      </c>
      <c r="L33" s="10">
        <f t="shared" si="9"/>
        <v>0.19</v>
      </c>
      <c r="M33" s="10">
        <f t="shared" si="10"/>
        <v>0.06850230494</v>
      </c>
      <c r="N33" s="14">
        <f t="shared" si="11"/>
        <v>7.65</v>
      </c>
      <c r="O33" s="9">
        <f t="shared" si="12"/>
        <v>127</v>
      </c>
      <c r="P33" s="9">
        <f t="shared" si="13"/>
        <v>25.2</v>
      </c>
    </row>
    <row r="34">
      <c r="A34" s="8">
        <v>33.0</v>
      </c>
      <c r="B34" s="8">
        <v>0.002</v>
      </c>
      <c r="C34" s="8">
        <v>0.179</v>
      </c>
      <c r="D34" s="9">
        <f t="shared" si="1"/>
        <v>50.46</v>
      </c>
      <c r="E34" s="9">
        <f t="shared" si="2"/>
        <v>0.78</v>
      </c>
      <c r="F34" s="10">
        <f t="shared" si="3"/>
        <v>2.036933343</v>
      </c>
      <c r="G34" s="11">
        <f t="shared" si="4"/>
        <v>63.34</v>
      </c>
      <c r="H34" s="10">
        <f t="shared" si="5"/>
        <v>66.017</v>
      </c>
      <c r="I34" s="10">
        <f t="shared" si="6"/>
        <v>23.41</v>
      </c>
      <c r="J34" s="12">
        <f t="shared" si="7"/>
        <v>36.959</v>
      </c>
      <c r="K34" s="13">
        <f t="shared" si="8"/>
        <v>0.892</v>
      </c>
      <c r="L34" s="10">
        <f t="shared" si="9"/>
        <v>0.188</v>
      </c>
      <c r="M34" s="10">
        <f t="shared" si="10"/>
        <v>0.06666190137</v>
      </c>
      <c r="N34" s="14">
        <f t="shared" si="11"/>
        <v>7.47</v>
      </c>
      <c r="O34" s="9">
        <f t="shared" si="12"/>
        <v>127</v>
      </c>
      <c r="P34" s="9">
        <f t="shared" si="13"/>
        <v>25.98</v>
      </c>
    </row>
    <row r="35">
      <c r="A35" s="8">
        <v>34.0</v>
      </c>
      <c r="B35" s="8">
        <v>0.007</v>
      </c>
      <c r="C35" s="8">
        <v>0.39</v>
      </c>
      <c r="D35" s="9">
        <f t="shared" si="1"/>
        <v>94.41</v>
      </c>
      <c r="E35" s="9">
        <f t="shared" si="2"/>
        <v>0.58</v>
      </c>
      <c r="F35" s="10">
        <f t="shared" si="3"/>
        <v>2.034515297</v>
      </c>
      <c r="G35" s="11">
        <f t="shared" si="4"/>
        <v>64.25</v>
      </c>
      <c r="H35" s="10">
        <f t="shared" si="5"/>
        <v>65.227</v>
      </c>
      <c r="I35" s="10">
        <f t="shared" si="6"/>
        <v>22.76</v>
      </c>
      <c r="J35" s="12">
        <f t="shared" si="7"/>
        <v>35.424</v>
      </c>
      <c r="K35" s="13">
        <f t="shared" si="8"/>
        <v>0.882</v>
      </c>
      <c r="L35" s="10">
        <f t="shared" si="9"/>
        <v>0.193</v>
      </c>
      <c r="M35" s="10">
        <f t="shared" si="10"/>
        <v>0.06734088353</v>
      </c>
      <c r="N35" s="14">
        <f t="shared" si="11"/>
        <v>7.64</v>
      </c>
      <c r="O35" s="9">
        <f t="shared" si="12"/>
        <v>127</v>
      </c>
      <c r="P35" s="9">
        <f t="shared" si="13"/>
        <v>26.77</v>
      </c>
    </row>
    <row r="36">
      <c r="A36" s="8">
        <v>35.0</v>
      </c>
      <c r="B36" s="8">
        <v>0.001</v>
      </c>
      <c r="C36" s="8">
        <v>0.13</v>
      </c>
      <c r="D36" s="9">
        <f t="shared" si="1"/>
        <v>35.68</v>
      </c>
      <c r="E36" s="9">
        <f t="shared" si="2"/>
        <v>0.74</v>
      </c>
      <c r="F36" s="10">
        <f t="shared" si="3"/>
        <v>2.032244509</v>
      </c>
      <c r="G36" s="11">
        <f t="shared" si="4"/>
        <v>63.44</v>
      </c>
      <c r="H36" s="10">
        <f t="shared" si="5"/>
        <v>64.442</v>
      </c>
      <c r="I36" s="10">
        <f t="shared" si="6"/>
        <v>22.14</v>
      </c>
      <c r="J36" s="12">
        <f t="shared" si="7"/>
        <v>34.899</v>
      </c>
      <c r="K36" s="13">
        <f t="shared" si="8"/>
        <v>0.878</v>
      </c>
      <c r="L36" s="10">
        <f t="shared" si="9"/>
        <v>0.192</v>
      </c>
      <c r="M36" s="10">
        <f t="shared" si="10"/>
        <v>0.0659543076</v>
      </c>
      <c r="N36" s="14">
        <f t="shared" si="11"/>
        <v>7.51</v>
      </c>
      <c r="O36" s="9">
        <f t="shared" si="12"/>
        <v>127</v>
      </c>
      <c r="P36" s="9">
        <f t="shared" si="13"/>
        <v>27.56</v>
      </c>
    </row>
    <row r="37">
      <c r="A37" s="8">
        <v>36.0</v>
      </c>
      <c r="B37" s="15">
        <v>2.292E-4</v>
      </c>
      <c r="C37" s="8">
        <v>0.054</v>
      </c>
      <c r="D37" s="9">
        <f t="shared" si="1"/>
        <v>17.08</v>
      </c>
      <c r="E37" s="16">
        <f t="shared" si="2"/>
        <v>0.99</v>
      </c>
      <c r="F37" s="10">
        <f t="shared" si="3"/>
        <v>2.030107928</v>
      </c>
      <c r="G37" s="11">
        <f t="shared" si="4"/>
        <v>62.15</v>
      </c>
      <c r="H37" s="10">
        <f t="shared" si="5"/>
        <v>63.983</v>
      </c>
      <c r="I37" s="10">
        <f t="shared" si="6"/>
        <v>21.65</v>
      </c>
      <c r="J37" s="12">
        <f t="shared" si="7"/>
        <v>34.835</v>
      </c>
      <c r="K37" s="13">
        <f t="shared" si="8"/>
        <v>0.881</v>
      </c>
      <c r="L37" s="10">
        <f t="shared" si="9"/>
        <v>0.19</v>
      </c>
      <c r="M37" s="10">
        <f t="shared" si="10"/>
        <v>0.06428675106</v>
      </c>
      <c r="N37" s="14">
        <f t="shared" si="11"/>
        <v>7.3</v>
      </c>
      <c r="O37" s="9">
        <f t="shared" si="12"/>
        <v>127</v>
      </c>
      <c r="P37" s="9">
        <f t="shared" si="13"/>
        <v>28.35</v>
      </c>
    </row>
    <row r="38">
      <c r="A38" s="8">
        <v>37.0</v>
      </c>
      <c r="B38" s="8">
        <v>0.002</v>
      </c>
      <c r="C38" s="8">
        <v>0.148</v>
      </c>
      <c r="D38" s="9">
        <f t="shared" si="1"/>
        <v>50.46</v>
      </c>
      <c r="E38" s="9">
        <f t="shared" si="2"/>
        <v>1.15</v>
      </c>
      <c r="F38" s="10">
        <f t="shared" si="3"/>
        <v>2.028094001</v>
      </c>
      <c r="G38" s="11">
        <f t="shared" si="4"/>
        <v>61.83</v>
      </c>
      <c r="H38" s="10">
        <f t="shared" si="5"/>
        <v>63.118</v>
      </c>
      <c r="I38" s="10">
        <f t="shared" si="6"/>
        <v>21.04</v>
      </c>
      <c r="J38" s="12">
        <f t="shared" si="7"/>
        <v>34.029</v>
      </c>
      <c r="K38" s="13">
        <f t="shared" si="8"/>
        <v>0.889</v>
      </c>
      <c r="L38" s="10">
        <f t="shared" si="9"/>
        <v>0.192</v>
      </c>
      <c r="M38" s="10">
        <f t="shared" si="10"/>
        <v>0.06401598718</v>
      </c>
      <c r="N38" s="14">
        <f t="shared" si="11"/>
        <v>7.2</v>
      </c>
      <c r="O38" s="9">
        <f t="shared" si="12"/>
        <v>127</v>
      </c>
      <c r="P38" s="9">
        <f t="shared" si="13"/>
        <v>29.13</v>
      </c>
    </row>
    <row r="39">
      <c r="A39" s="8">
        <v>38.0</v>
      </c>
      <c r="B39" s="8">
        <v>0.003</v>
      </c>
      <c r="C39" s="8">
        <v>0.202</v>
      </c>
      <c r="D39" s="9">
        <f t="shared" si="1"/>
        <v>61.8</v>
      </c>
      <c r="E39" s="9">
        <f t="shared" si="2"/>
        <v>0.92</v>
      </c>
      <c r="F39" s="10">
        <f t="shared" si="3"/>
        <v>2.026192463</v>
      </c>
      <c r="G39" s="11">
        <f t="shared" si="4"/>
        <v>61.83</v>
      </c>
      <c r="H39" s="10">
        <f t="shared" si="5"/>
        <v>62.259</v>
      </c>
      <c r="I39" s="10">
        <f t="shared" si="6"/>
        <v>20.46</v>
      </c>
      <c r="J39" s="12">
        <f t="shared" si="7"/>
        <v>33.091</v>
      </c>
      <c r="K39" s="13">
        <f t="shared" si="8"/>
        <v>0.889</v>
      </c>
      <c r="L39" s="10">
        <f t="shared" si="9"/>
        <v>0.19</v>
      </c>
      <c r="M39" s="10">
        <f t="shared" si="10"/>
        <v>0.06245144596</v>
      </c>
      <c r="N39" s="14">
        <f t="shared" si="11"/>
        <v>7.02</v>
      </c>
      <c r="O39" s="9">
        <f t="shared" si="12"/>
        <v>127</v>
      </c>
      <c r="P39" s="9">
        <f t="shared" si="13"/>
        <v>29.92</v>
      </c>
    </row>
    <row r="40">
      <c r="A40" s="8">
        <v>39.0</v>
      </c>
      <c r="B40" s="8">
        <v>0.002</v>
      </c>
      <c r="C40" s="8">
        <v>0.166</v>
      </c>
      <c r="D40" s="9">
        <f t="shared" si="1"/>
        <v>50.46</v>
      </c>
      <c r="E40" s="9">
        <f t="shared" si="2"/>
        <v>0.91</v>
      </c>
      <c r="F40" s="10">
        <f t="shared" si="3"/>
        <v>2.024394164</v>
      </c>
      <c r="G40" s="11">
        <f t="shared" si="4"/>
        <v>61.54</v>
      </c>
      <c r="H40" s="10">
        <f t="shared" si="5"/>
        <v>61.461</v>
      </c>
      <c r="I40" s="10">
        <f t="shared" si="6"/>
        <v>19.92</v>
      </c>
      <c r="J40" s="12">
        <f t="shared" si="7"/>
        <v>32.369</v>
      </c>
      <c r="K40" s="13">
        <f t="shared" si="8"/>
        <v>0.89</v>
      </c>
      <c r="L40" s="10">
        <f t="shared" si="9"/>
        <v>0.187</v>
      </c>
      <c r="M40" s="10">
        <f t="shared" si="10"/>
        <v>0.06061838751</v>
      </c>
      <c r="N40" s="14">
        <f t="shared" si="11"/>
        <v>6.81</v>
      </c>
      <c r="O40" s="9">
        <f t="shared" si="12"/>
        <v>127</v>
      </c>
      <c r="P40" s="9">
        <f t="shared" si="13"/>
        <v>30.71</v>
      </c>
    </row>
    <row r="41">
      <c r="A41" s="8">
        <v>40.0</v>
      </c>
      <c r="B41" s="15">
        <v>0.001</v>
      </c>
      <c r="C41" s="8">
        <v>0.131</v>
      </c>
      <c r="D41" s="9">
        <f t="shared" si="1"/>
        <v>35.68</v>
      </c>
      <c r="E41" s="16">
        <f t="shared" si="2"/>
        <v>0.73</v>
      </c>
      <c r="F41" s="10">
        <f t="shared" si="3"/>
        <v>2.02269092</v>
      </c>
      <c r="G41" s="11">
        <f t="shared" si="4"/>
        <v>60.89</v>
      </c>
      <c r="H41" s="10">
        <f t="shared" si="5"/>
        <v>60.806</v>
      </c>
      <c r="I41" s="10">
        <f t="shared" si="6"/>
        <v>19.45</v>
      </c>
      <c r="J41" s="12">
        <f t="shared" si="7"/>
        <v>31.943</v>
      </c>
      <c r="K41" s="13">
        <f t="shared" si="8"/>
        <v>0.886</v>
      </c>
      <c r="L41" s="10">
        <f t="shared" si="9"/>
        <v>0.186</v>
      </c>
      <c r="M41" s="10">
        <f t="shared" si="10"/>
        <v>0.05948568588</v>
      </c>
      <c r="N41" s="14">
        <f t="shared" si="11"/>
        <v>6.71</v>
      </c>
      <c r="O41" s="9">
        <f t="shared" si="12"/>
        <v>127</v>
      </c>
      <c r="P41" s="9">
        <f t="shared" si="13"/>
        <v>31.5</v>
      </c>
    </row>
    <row r="42">
      <c r="A42" s="8">
        <v>41.0</v>
      </c>
      <c r="B42" s="15">
        <v>8.084E-4</v>
      </c>
      <c r="C42" s="8">
        <v>0.103</v>
      </c>
      <c r="D42" s="9">
        <f t="shared" si="1"/>
        <v>32.08</v>
      </c>
      <c r="E42" s="16">
        <f t="shared" si="2"/>
        <v>0.96</v>
      </c>
      <c r="F42" s="10">
        <f t="shared" si="3"/>
        <v>2.02107539</v>
      </c>
      <c r="G42" s="11">
        <f t="shared" si="4"/>
        <v>60.19</v>
      </c>
      <c r="H42" s="10">
        <f t="shared" si="5"/>
        <v>60.209</v>
      </c>
      <c r="I42" s="10">
        <f t="shared" si="6"/>
        <v>19</v>
      </c>
      <c r="J42" s="12">
        <f t="shared" si="7"/>
        <v>31.567</v>
      </c>
      <c r="K42" s="13">
        <f t="shared" si="8"/>
        <v>0.888</v>
      </c>
      <c r="L42" s="10">
        <f t="shared" si="9"/>
        <v>0.185</v>
      </c>
      <c r="M42" s="10">
        <f t="shared" si="10"/>
        <v>0.05839320515</v>
      </c>
      <c r="N42" s="14">
        <f t="shared" si="11"/>
        <v>6.58</v>
      </c>
      <c r="O42" s="9">
        <f t="shared" si="12"/>
        <v>127</v>
      </c>
      <c r="P42" s="9">
        <f t="shared" si="13"/>
        <v>32.28</v>
      </c>
    </row>
    <row r="43">
      <c r="A43" s="8">
        <v>42.0</v>
      </c>
      <c r="B43" s="8">
        <v>0.003</v>
      </c>
      <c r="C43" s="8">
        <v>0.197</v>
      </c>
      <c r="D43" s="9">
        <f t="shared" si="1"/>
        <v>61.8</v>
      </c>
      <c r="E43" s="9">
        <f t="shared" si="2"/>
        <v>0.97</v>
      </c>
      <c r="F43" s="10">
        <f t="shared" si="3"/>
        <v>2.01954097</v>
      </c>
      <c r="G43" s="11">
        <f t="shared" si="4"/>
        <v>60.23</v>
      </c>
      <c r="H43" s="10">
        <f t="shared" si="5"/>
        <v>59.471</v>
      </c>
      <c r="I43" s="10">
        <f t="shared" si="6"/>
        <v>18.53</v>
      </c>
      <c r="J43" s="12">
        <f t="shared" si="7"/>
        <v>30.765</v>
      </c>
      <c r="K43" s="13">
        <f t="shared" si="8"/>
        <v>0.89</v>
      </c>
      <c r="L43" s="10">
        <f t="shared" si="9"/>
        <v>0.183</v>
      </c>
      <c r="M43" s="10">
        <f t="shared" si="10"/>
        <v>0.05702681449</v>
      </c>
      <c r="N43" s="14">
        <f t="shared" si="11"/>
        <v>6.41</v>
      </c>
      <c r="O43" s="9">
        <f t="shared" si="12"/>
        <v>127</v>
      </c>
      <c r="P43" s="9">
        <f t="shared" si="13"/>
        <v>33.07</v>
      </c>
    </row>
    <row r="44">
      <c r="A44" s="8">
        <v>43.0</v>
      </c>
      <c r="B44" s="15">
        <v>8.339E-4</v>
      </c>
      <c r="C44" s="8">
        <v>0.105</v>
      </c>
      <c r="D44" s="9">
        <f t="shared" si="1"/>
        <v>32.58</v>
      </c>
      <c r="E44" s="16">
        <f t="shared" si="2"/>
        <v>0.95</v>
      </c>
      <c r="F44" s="10">
        <f t="shared" si="3"/>
        <v>2.018081703</v>
      </c>
      <c r="G44" s="11">
        <f t="shared" si="4"/>
        <v>59.59</v>
      </c>
      <c r="H44" s="10">
        <f t="shared" si="5"/>
        <v>58.91</v>
      </c>
      <c r="I44" s="10">
        <f t="shared" si="6"/>
        <v>18.13</v>
      </c>
      <c r="J44" s="12">
        <f t="shared" si="7"/>
        <v>30.425</v>
      </c>
      <c r="K44" s="13">
        <f t="shared" si="8"/>
        <v>0.891</v>
      </c>
      <c r="L44" s="10">
        <f t="shared" si="9"/>
        <v>0.181</v>
      </c>
      <c r="M44" s="10">
        <f t="shared" si="10"/>
        <v>0.05570357798</v>
      </c>
      <c r="N44" s="14">
        <f t="shared" si="11"/>
        <v>6.25</v>
      </c>
      <c r="O44" s="9">
        <f t="shared" si="12"/>
        <v>127</v>
      </c>
      <c r="P44" s="9">
        <f t="shared" si="13"/>
        <v>33.86</v>
      </c>
    </row>
    <row r="45">
      <c r="A45" s="8">
        <v>44.0</v>
      </c>
      <c r="B45" s="8">
        <v>0.002</v>
      </c>
      <c r="C45" s="8">
        <v>0.156</v>
      </c>
      <c r="D45" s="9">
        <f t="shared" si="1"/>
        <v>50.46</v>
      </c>
      <c r="E45" s="9">
        <f t="shared" si="2"/>
        <v>1.03</v>
      </c>
      <c r="F45" s="10">
        <f t="shared" si="3"/>
        <v>2.016692199</v>
      </c>
      <c r="G45" s="11">
        <f t="shared" si="4"/>
        <v>59.38</v>
      </c>
      <c r="H45" s="10">
        <f t="shared" si="5"/>
        <v>58.237</v>
      </c>
      <c r="I45" s="10">
        <f t="shared" si="6"/>
        <v>17.71</v>
      </c>
      <c r="J45" s="12">
        <f t="shared" si="7"/>
        <v>29.825</v>
      </c>
      <c r="K45" s="13">
        <f t="shared" si="8"/>
        <v>0.894</v>
      </c>
      <c r="L45" s="10">
        <f t="shared" si="9"/>
        <v>0.18</v>
      </c>
      <c r="M45" s="10">
        <f t="shared" si="10"/>
        <v>0.05472500189</v>
      </c>
      <c r="N45" s="14">
        <f t="shared" si="11"/>
        <v>6.12</v>
      </c>
      <c r="O45" s="9">
        <f t="shared" si="12"/>
        <v>127</v>
      </c>
      <c r="P45" s="9">
        <f t="shared" si="13"/>
        <v>34.65</v>
      </c>
    </row>
    <row r="46">
      <c r="A46" s="8">
        <v>45.0</v>
      </c>
      <c r="B46" s="8">
        <v>0.004</v>
      </c>
      <c r="C46" s="8">
        <v>0.251</v>
      </c>
      <c r="D46" s="9">
        <f t="shared" si="1"/>
        <v>71.36</v>
      </c>
      <c r="E46" s="9">
        <f t="shared" si="2"/>
        <v>0.8</v>
      </c>
      <c r="F46" s="10">
        <f t="shared" si="3"/>
        <v>2.015367574</v>
      </c>
      <c r="G46" s="11">
        <f t="shared" si="4"/>
        <v>59.65</v>
      </c>
      <c r="H46" s="10">
        <f t="shared" si="5"/>
        <v>57.599</v>
      </c>
      <c r="I46" s="10">
        <f t="shared" si="6"/>
        <v>17.3</v>
      </c>
      <c r="J46" s="12">
        <f t="shared" si="7"/>
        <v>29.003</v>
      </c>
      <c r="K46" s="13">
        <f t="shared" si="8"/>
        <v>0.892</v>
      </c>
      <c r="L46" s="10">
        <f t="shared" si="9"/>
        <v>0.178</v>
      </c>
      <c r="M46" s="10">
        <f t="shared" si="10"/>
        <v>0.05347712023</v>
      </c>
      <c r="N46" s="14">
        <f t="shared" si="11"/>
        <v>6</v>
      </c>
      <c r="O46" s="9">
        <f t="shared" si="12"/>
        <v>127</v>
      </c>
      <c r="P46" s="9">
        <f t="shared" si="13"/>
        <v>35.43</v>
      </c>
    </row>
    <row r="47">
      <c r="A47" s="8">
        <v>46.0</v>
      </c>
      <c r="B47" s="15">
        <v>6.175E-4</v>
      </c>
      <c r="C47" s="8">
        <v>0.092</v>
      </c>
      <c r="D47" s="9">
        <f t="shared" si="1"/>
        <v>28.04</v>
      </c>
      <c r="E47" s="16">
        <f t="shared" si="2"/>
        <v>0.92</v>
      </c>
      <c r="F47" s="10">
        <f t="shared" si="3"/>
        <v>2.014103389</v>
      </c>
      <c r="G47" s="11">
        <f t="shared" si="4"/>
        <v>58.96</v>
      </c>
      <c r="H47" s="10">
        <f t="shared" si="5"/>
        <v>57.146</v>
      </c>
      <c r="I47" s="10">
        <f t="shared" si="6"/>
        <v>16.97</v>
      </c>
      <c r="J47" s="12">
        <f t="shared" si="7"/>
        <v>28.782</v>
      </c>
      <c r="K47" s="13">
        <f t="shared" si="8"/>
        <v>0.893</v>
      </c>
      <c r="L47" s="10">
        <f t="shared" si="9"/>
        <v>0.176</v>
      </c>
      <c r="M47" s="10">
        <f t="shared" si="10"/>
        <v>0.05226554847</v>
      </c>
      <c r="N47" s="14">
        <f t="shared" si="11"/>
        <v>5.85</v>
      </c>
      <c r="O47" s="9">
        <f t="shared" si="12"/>
        <v>127</v>
      </c>
      <c r="P47" s="9">
        <f t="shared" si="13"/>
        <v>36.22</v>
      </c>
    </row>
    <row r="48">
      <c r="A48" s="8">
        <v>47.0</v>
      </c>
      <c r="B48" s="8">
        <v>0.002</v>
      </c>
      <c r="C48" s="8">
        <v>0.166</v>
      </c>
      <c r="D48" s="9">
        <f t="shared" si="1"/>
        <v>50.46</v>
      </c>
      <c r="E48" s="9">
        <f t="shared" si="2"/>
        <v>0.91</v>
      </c>
      <c r="F48" s="10">
        <f t="shared" si="3"/>
        <v>2.012895599</v>
      </c>
      <c r="G48" s="11">
        <f t="shared" si="4"/>
        <v>58.78</v>
      </c>
      <c r="H48" s="10">
        <f t="shared" si="5"/>
        <v>56.535</v>
      </c>
      <c r="I48" s="10">
        <f t="shared" si="6"/>
        <v>16.6</v>
      </c>
      <c r="J48" s="12">
        <f t="shared" si="7"/>
        <v>28.241</v>
      </c>
      <c r="K48" s="13">
        <f t="shared" si="8"/>
        <v>0.893</v>
      </c>
      <c r="L48" s="10">
        <f t="shared" si="9"/>
        <v>0.174</v>
      </c>
      <c r="M48" s="10">
        <f t="shared" si="10"/>
        <v>0.0510883139</v>
      </c>
      <c r="N48" s="14">
        <f t="shared" si="11"/>
        <v>5.72</v>
      </c>
      <c r="O48" s="9">
        <f t="shared" si="12"/>
        <v>127</v>
      </c>
      <c r="P48" s="9">
        <f t="shared" si="13"/>
        <v>37.01</v>
      </c>
    </row>
    <row r="49">
      <c r="A49" s="8">
        <v>48.0</v>
      </c>
      <c r="B49" s="8">
        <v>0.003</v>
      </c>
      <c r="C49" s="8">
        <v>0.198</v>
      </c>
      <c r="D49" s="9">
        <f t="shared" si="1"/>
        <v>61.8</v>
      </c>
      <c r="E49" s="9">
        <f t="shared" si="2"/>
        <v>0.96</v>
      </c>
      <c r="F49" s="10">
        <f t="shared" si="3"/>
        <v>2.011740514</v>
      </c>
      <c r="G49" s="11">
        <f t="shared" si="4"/>
        <v>58.84</v>
      </c>
      <c r="H49" s="10">
        <f t="shared" si="5"/>
        <v>55.932</v>
      </c>
      <c r="I49" s="10">
        <f t="shared" si="6"/>
        <v>16.24</v>
      </c>
      <c r="J49" s="12">
        <f t="shared" si="7"/>
        <v>27.6</v>
      </c>
      <c r="K49" s="13">
        <f t="shared" si="8"/>
        <v>0.895</v>
      </c>
      <c r="L49" s="10">
        <f t="shared" si="9"/>
        <v>0.173</v>
      </c>
      <c r="M49" s="10">
        <f t="shared" si="10"/>
        <v>0.0502339636</v>
      </c>
      <c r="N49" s="14">
        <f t="shared" si="11"/>
        <v>5.61</v>
      </c>
      <c r="O49" s="9">
        <f t="shared" si="12"/>
        <v>127</v>
      </c>
      <c r="P49" s="9">
        <f t="shared" si="13"/>
        <v>37.8</v>
      </c>
    </row>
    <row r="50">
      <c r="A50" s="8">
        <v>49.0</v>
      </c>
      <c r="B50" s="8">
        <v>0.002</v>
      </c>
      <c r="C50" s="8">
        <v>0.151</v>
      </c>
      <c r="D50" s="9">
        <f t="shared" si="1"/>
        <v>50.46</v>
      </c>
      <c r="E50" s="9">
        <f t="shared" si="2"/>
        <v>1.1</v>
      </c>
      <c r="F50" s="10">
        <f t="shared" si="3"/>
        <v>2.010634758</v>
      </c>
      <c r="G50" s="11">
        <f t="shared" si="4"/>
        <v>58.67</v>
      </c>
      <c r="H50" s="10">
        <f t="shared" si="5"/>
        <v>55.359</v>
      </c>
      <c r="I50" s="10">
        <f t="shared" si="6"/>
        <v>15.9</v>
      </c>
      <c r="J50" s="12">
        <f t="shared" si="7"/>
        <v>27.101</v>
      </c>
      <c r="K50" s="13">
        <f t="shared" si="8"/>
        <v>0.899</v>
      </c>
      <c r="L50" s="10">
        <f t="shared" si="9"/>
        <v>0.174</v>
      </c>
      <c r="M50" s="10">
        <f t="shared" si="10"/>
        <v>0.0499786354</v>
      </c>
      <c r="N50" s="14">
        <f t="shared" si="11"/>
        <v>5.56</v>
      </c>
      <c r="O50" s="9">
        <f t="shared" si="12"/>
        <v>127</v>
      </c>
      <c r="P50" s="9">
        <f t="shared" si="13"/>
        <v>38.58</v>
      </c>
    </row>
    <row r="51">
      <c r="A51" s="8">
        <v>50.0</v>
      </c>
      <c r="B51" s="8">
        <v>0.004</v>
      </c>
      <c r="C51" s="8">
        <v>0.258</v>
      </c>
      <c r="D51" s="9">
        <f t="shared" si="1"/>
        <v>71.36</v>
      </c>
      <c r="E51" s="9">
        <f t="shared" si="2"/>
        <v>0.76</v>
      </c>
      <c r="F51" s="10">
        <f t="shared" si="3"/>
        <v>2.009575237</v>
      </c>
      <c r="G51" s="11">
        <f t="shared" si="4"/>
        <v>58.92</v>
      </c>
      <c r="H51" s="10">
        <f t="shared" si="5"/>
        <v>54.821</v>
      </c>
      <c r="I51" s="10">
        <f t="shared" si="6"/>
        <v>15.58</v>
      </c>
      <c r="J51" s="12">
        <f t="shared" si="7"/>
        <v>26.443</v>
      </c>
      <c r="K51" s="13">
        <f t="shared" si="8"/>
        <v>0.896</v>
      </c>
      <c r="L51" s="10">
        <f t="shared" si="9"/>
        <v>0.173</v>
      </c>
      <c r="M51" s="10">
        <f t="shared" si="10"/>
        <v>0.049166056</v>
      </c>
      <c r="N51" s="14">
        <f t="shared" si="11"/>
        <v>5.49</v>
      </c>
      <c r="O51" s="9">
        <f t="shared" si="12"/>
        <v>127</v>
      </c>
      <c r="P51" s="9">
        <f t="shared" si="13"/>
        <v>39.37</v>
      </c>
    </row>
    <row r="52">
      <c r="A52" s="8">
        <v>51.0</v>
      </c>
      <c r="B52" s="15">
        <v>8.53E-4</v>
      </c>
      <c r="C52" s="8">
        <v>0.108</v>
      </c>
      <c r="D52" s="9">
        <f t="shared" si="1"/>
        <v>32.96</v>
      </c>
      <c r="E52" s="16">
        <f t="shared" si="2"/>
        <v>0.92</v>
      </c>
      <c r="F52" s="10">
        <f t="shared" si="3"/>
        <v>2.008559112</v>
      </c>
      <c r="G52" s="11">
        <f t="shared" si="4"/>
        <v>58.41</v>
      </c>
      <c r="H52" s="10">
        <f t="shared" si="5"/>
        <v>54.391</v>
      </c>
      <c r="I52" s="10">
        <f t="shared" si="6"/>
        <v>15.3</v>
      </c>
      <c r="J52" s="12">
        <f t="shared" si="7"/>
        <v>26.194</v>
      </c>
      <c r="K52" s="13">
        <f t="shared" si="8"/>
        <v>0.896</v>
      </c>
      <c r="L52" s="10">
        <f t="shared" si="9"/>
        <v>0.171</v>
      </c>
      <c r="M52" s="10">
        <f t="shared" si="10"/>
        <v>0.04809452501</v>
      </c>
      <c r="N52" s="14">
        <f t="shared" si="11"/>
        <v>5.37</v>
      </c>
      <c r="O52" s="9">
        <f t="shared" si="12"/>
        <v>127</v>
      </c>
      <c r="P52" s="9">
        <f t="shared" si="13"/>
        <v>40.16</v>
      </c>
    </row>
    <row r="53">
      <c r="A53" s="8">
        <v>52.0</v>
      </c>
      <c r="B53" s="8">
        <v>0.002</v>
      </c>
      <c r="C53" s="8">
        <v>0.163</v>
      </c>
      <c r="D53" s="9">
        <f t="shared" si="1"/>
        <v>50.46</v>
      </c>
      <c r="E53" s="9">
        <f t="shared" si="2"/>
        <v>0.95</v>
      </c>
      <c r="F53" s="10">
        <f t="shared" si="3"/>
        <v>2.00758377</v>
      </c>
      <c r="G53" s="11">
        <f t="shared" si="4"/>
        <v>58.26</v>
      </c>
      <c r="H53" s="10">
        <f t="shared" si="5"/>
        <v>53.867</v>
      </c>
      <c r="I53" s="10">
        <f t="shared" si="6"/>
        <v>15</v>
      </c>
      <c r="J53" s="12">
        <f t="shared" si="7"/>
        <v>25.747</v>
      </c>
      <c r="K53" s="13">
        <f t="shared" si="8"/>
        <v>0.898</v>
      </c>
      <c r="L53" s="10">
        <f t="shared" si="9"/>
        <v>0.17</v>
      </c>
      <c r="M53" s="10">
        <f t="shared" si="10"/>
        <v>0.04732830223</v>
      </c>
      <c r="N53" s="14">
        <f t="shared" si="11"/>
        <v>5.27</v>
      </c>
      <c r="O53" s="9">
        <f t="shared" si="12"/>
        <v>127</v>
      </c>
      <c r="P53" s="9">
        <f t="shared" si="13"/>
        <v>40.94</v>
      </c>
    </row>
    <row r="54">
      <c r="A54" s="8">
        <v>53.0</v>
      </c>
      <c r="B54" s="8">
        <v>0.019</v>
      </c>
      <c r="C54" s="8">
        <v>0.555</v>
      </c>
      <c r="D54" s="9">
        <f t="shared" si="1"/>
        <v>155.54</v>
      </c>
      <c r="E54" s="9">
        <f t="shared" si="2"/>
        <v>0.78</v>
      </c>
      <c r="F54" s="10">
        <f t="shared" si="3"/>
        <v>2.006646805</v>
      </c>
      <c r="G54" s="11">
        <f t="shared" si="4"/>
        <v>60.1</v>
      </c>
      <c r="H54" s="10">
        <f t="shared" si="5"/>
        <v>54.994</v>
      </c>
      <c r="I54" s="10">
        <f t="shared" si="6"/>
        <v>15.16</v>
      </c>
      <c r="J54" s="12">
        <f t="shared" si="7"/>
        <v>25.225</v>
      </c>
      <c r="K54" s="13">
        <f t="shared" si="8"/>
        <v>0.895</v>
      </c>
      <c r="L54" s="10">
        <f t="shared" si="9"/>
        <v>0.169</v>
      </c>
      <c r="M54" s="10">
        <f t="shared" si="10"/>
        <v>0.04658216912</v>
      </c>
      <c r="N54" s="14">
        <f t="shared" si="11"/>
        <v>5.2</v>
      </c>
      <c r="O54" s="9">
        <f t="shared" si="12"/>
        <v>127</v>
      </c>
      <c r="P54" s="9">
        <f t="shared" si="13"/>
        <v>41.73</v>
      </c>
    </row>
    <row r="55">
      <c r="A55" s="8">
        <v>54.0</v>
      </c>
      <c r="B55" s="8">
        <v>0.002</v>
      </c>
      <c r="C55" s="8">
        <v>0.176</v>
      </c>
      <c r="D55" s="9">
        <f t="shared" si="1"/>
        <v>50.46</v>
      </c>
      <c r="E55" s="9">
        <f t="shared" si="2"/>
        <v>0.81</v>
      </c>
      <c r="F55" s="10">
        <f t="shared" si="3"/>
        <v>2.005745995</v>
      </c>
      <c r="G55" s="11">
        <f t="shared" si="4"/>
        <v>59.92</v>
      </c>
      <c r="H55" s="10">
        <f t="shared" si="5"/>
        <v>54.489</v>
      </c>
      <c r="I55" s="10">
        <f t="shared" si="6"/>
        <v>14.87</v>
      </c>
      <c r="J55" s="12">
        <f t="shared" si="7"/>
        <v>24.816</v>
      </c>
      <c r="K55" s="13">
        <f t="shared" si="8"/>
        <v>0.894</v>
      </c>
      <c r="L55" s="10">
        <f t="shared" si="9"/>
        <v>0.168</v>
      </c>
      <c r="M55" s="10">
        <f t="shared" si="10"/>
        <v>0.04585517293</v>
      </c>
      <c r="N55" s="14">
        <f t="shared" si="11"/>
        <v>5.13</v>
      </c>
      <c r="O55" s="9">
        <f t="shared" si="12"/>
        <v>127</v>
      </c>
      <c r="P55" s="9">
        <f t="shared" si="13"/>
        <v>42.52</v>
      </c>
    </row>
    <row r="56">
      <c r="A56" s="8">
        <v>55.0</v>
      </c>
      <c r="B56" s="15">
        <v>6.047E-4</v>
      </c>
      <c r="C56" s="8">
        <v>0.09</v>
      </c>
      <c r="D56" s="9">
        <f t="shared" si="1"/>
        <v>27.75</v>
      </c>
      <c r="E56" s="16">
        <f t="shared" si="2"/>
        <v>0.94</v>
      </c>
      <c r="F56" s="10">
        <f t="shared" si="3"/>
        <v>2.004879288</v>
      </c>
      <c r="G56" s="11">
        <f t="shared" si="4"/>
        <v>59.33</v>
      </c>
      <c r="H56" s="10">
        <f t="shared" si="5"/>
        <v>54.156</v>
      </c>
      <c r="I56" s="10">
        <f t="shared" si="6"/>
        <v>14.64</v>
      </c>
      <c r="J56" s="12">
        <f t="shared" si="7"/>
        <v>24.676</v>
      </c>
      <c r="K56" s="13">
        <f t="shared" si="8"/>
        <v>0.895</v>
      </c>
      <c r="L56" s="10">
        <f t="shared" si="9"/>
        <v>0.166</v>
      </c>
      <c r="M56" s="10">
        <f t="shared" si="10"/>
        <v>0.0448760861</v>
      </c>
      <c r="N56" s="14">
        <f t="shared" si="11"/>
        <v>5.01</v>
      </c>
      <c r="O56" s="9">
        <f t="shared" si="12"/>
        <v>127</v>
      </c>
      <c r="P56" s="9">
        <f t="shared" si="13"/>
        <v>43.31</v>
      </c>
    </row>
    <row r="57">
      <c r="A57" s="8">
        <v>56.0</v>
      </c>
      <c r="B57" s="8">
        <v>0.271</v>
      </c>
      <c r="C57" s="8">
        <v>2.254</v>
      </c>
      <c r="D57" s="9">
        <f t="shared" si="1"/>
        <v>587.41</v>
      </c>
      <c r="E57" s="9">
        <f t="shared" si="2"/>
        <v>0.67</v>
      </c>
      <c r="F57" s="10">
        <f t="shared" si="3"/>
        <v>2.004044783</v>
      </c>
      <c r="G57" s="11">
        <f t="shared" si="4"/>
        <v>68.76</v>
      </c>
      <c r="H57" s="10">
        <f t="shared" si="5"/>
        <v>88.653</v>
      </c>
      <c r="I57" s="10">
        <f t="shared" si="6"/>
        <v>23.74</v>
      </c>
      <c r="J57" s="12">
        <f t="shared" si="7"/>
        <v>34.526</v>
      </c>
      <c r="K57" s="13">
        <f t="shared" si="8"/>
        <v>0.891</v>
      </c>
      <c r="L57" s="10">
        <f t="shared" si="9"/>
        <v>0.167</v>
      </c>
      <c r="M57" s="10">
        <f t="shared" si="10"/>
        <v>0.04472289205</v>
      </c>
      <c r="N57" s="14">
        <f t="shared" si="11"/>
        <v>5.02</v>
      </c>
      <c r="O57" s="9">
        <f t="shared" si="12"/>
        <v>127</v>
      </c>
      <c r="P57" s="9">
        <f t="shared" si="13"/>
        <v>44.09</v>
      </c>
    </row>
    <row r="58">
      <c r="A58" s="8">
        <v>57.0</v>
      </c>
      <c r="B58" s="8">
        <v>0.002</v>
      </c>
      <c r="C58" s="8">
        <v>0.179</v>
      </c>
      <c r="D58" s="9">
        <f t="shared" si="1"/>
        <v>50.46</v>
      </c>
      <c r="E58" s="9">
        <f t="shared" si="2"/>
        <v>0.78</v>
      </c>
      <c r="F58" s="10">
        <f t="shared" si="3"/>
        <v>2.003240719</v>
      </c>
      <c r="G58" s="11">
        <f t="shared" si="4"/>
        <v>68.44</v>
      </c>
      <c r="H58" s="10">
        <f t="shared" si="5"/>
        <v>87.891</v>
      </c>
      <c r="I58" s="10">
        <f t="shared" si="6"/>
        <v>23.32</v>
      </c>
      <c r="J58" s="12">
        <f t="shared" si="7"/>
        <v>34.074</v>
      </c>
      <c r="K58" s="13">
        <f t="shared" si="8"/>
        <v>0.889</v>
      </c>
      <c r="L58" s="10">
        <f t="shared" si="9"/>
        <v>0.167</v>
      </c>
      <c r="M58" s="10">
        <f t="shared" si="10"/>
        <v>0.04431106442</v>
      </c>
      <c r="N58" s="14">
        <f t="shared" si="11"/>
        <v>4.98</v>
      </c>
      <c r="O58" s="9">
        <f t="shared" si="12"/>
        <v>127</v>
      </c>
      <c r="P58" s="9">
        <f t="shared" si="13"/>
        <v>44.88</v>
      </c>
    </row>
    <row r="59">
      <c r="A59" s="8">
        <v>58.0</v>
      </c>
      <c r="B59" s="8">
        <v>0.003</v>
      </c>
      <c r="C59" s="8">
        <v>0.217</v>
      </c>
      <c r="D59" s="9">
        <f t="shared" si="1"/>
        <v>61.8</v>
      </c>
      <c r="E59" s="9">
        <f t="shared" si="2"/>
        <v>0.8</v>
      </c>
      <c r="F59" s="10">
        <f t="shared" si="3"/>
        <v>2.002465459</v>
      </c>
      <c r="G59" s="11">
        <f t="shared" si="4"/>
        <v>68.33</v>
      </c>
      <c r="H59" s="10">
        <f t="shared" si="5"/>
        <v>87.121</v>
      </c>
      <c r="I59" s="10">
        <f t="shared" si="6"/>
        <v>22.91</v>
      </c>
      <c r="J59" s="12">
        <f t="shared" si="7"/>
        <v>33.528</v>
      </c>
      <c r="K59" s="13">
        <f t="shared" si="8"/>
        <v>0.887</v>
      </c>
      <c r="L59" s="10">
        <f t="shared" si="9"/>
        <v>0.165</v>
      </c>
      <c r="M59" s="10">
        <f t="shared" si="10"/>
        <v>0.0433845384</v>
      </c>
      <c r="N59" s="14">
        <f t="shared" si="11"/>
        <v>4.89</v>
      </c>
      <c r="O59" s="9">
        <f t="shared" si="12"/>
        <v>127</v>
      </c>
      <c r="P59" s="9">
        <f t="shared" si="13"/>
        <v>45.67</v>
      </c>
    </row>
    <row r="60">
      <c r="A60" s="8">
        <v>59.0</v>
      </c>
      <c r="B60" s="8">
        <v>0.002</v>
      </c>
      <c r="C60" s="8">
        <v>0.155</v>
      </c>
      <c r="D60" s="9">
        <f t="shared" si="1"/>
        <v>50.46</v>
      </c>
      <c r="E60" s="9">
        <f t="shared" si="2"/>
        <v>1.05</v>
      </c>
      <c r="F60" s="10">
        <f t="shared" si="3"/>
        <v>2.001717484</v>
      </c>
      <c r="G60" s="11">
        <f t="shared" si="4"/>
        <v>68.03</v>
      </c>
      <c r="H60" s="10">
        <f t="shared" si="5"/>
        <v>86.398</v>
      </c>
      <c r="I60" s="10">
        <f t="shared" si="6"/>
        <v>22.52</v>
      </c>
      <c r="J60" s="12">
        <f t="shared" si="7"/>
        <v>33.103</v>
      </c>
      <c r="K60" s="13">
        <f t="shared" si="8"/>
        <v>0.89</v>
      </c>
      <c r="L60" s="10">
        <f t="shared" si="9"/>
        <v>0.165</v>
      </c>
      <c r="M60" s="10">
        <f t="shared" si="10"/>
        <v>0.04299923419</v>
      </c>
      <c r="N60" s="14">
        <f t="shared" si="11"/>
        <v>4.83</v>
      </c>
      <c r="O60" s="9">
        <f t="shared" si="12"/>
        <v>127</v>
      </c>
      <c r="P60" s="9">
        <f t="shared" si="13"/>
        <v>46.46</v>
      </c>
    </row>
    <row r="61">
      <c r="A61" s="8">
        <v>60.0</v>
      </c>
      <c r="B61" s="8">
        <v>0.034</v>
      </c>
      <c r="C61" s="8">
        <v>0.781</v>
      </c>
      <c r="D61" s="9">
        <f t="shared" si="1"/>
        <v>208.06</v>
      </c>
      <c r="E61" s="9">
        <f t="shared" si="2"/>
        <v>0.7</v>
      </c>
      <c r="F61" s="10">
        <f t="shared" si="3"/>
        <v>2.000995378</v>
      </c>
      <c r="G61" s="11">
        <f t="shared" si="4"/>
        <v>70.36</v>
      </c>
      <c r="H61" s="10">
        <f t="shared" si="5"/>
        <v>87.549</v>
      </c>
      <c r="I61" s="10">
        <f t="shared" si="6"/>
        <v>22.62</v>
      </c>
      <c r="J61" s="12">
        <f t="shared" si="7"/>
        <v>32.149</v>
      </c>
      <c r="K61" s="13">
        <f t="shared" si="8"/>
        <v>0.887</v>
      </c>
      <c r="L61" s="10">
        <f t="shared" si="9"/>
        <v>0.166</v>
      </c>
      <c r="M61" s="10">
        <f t="shared" si="10"/>
        <v>0.04288234716</v>
      </c>
      <c r="N61" s="14">
        <f t="shared" si="11"/>
        <v>4.83</v>
      </c>
      <c r="O61" s="9">
        <f t="shared" si="12"/>
        <v>127</v>
      </c>
      <c r="P61" s="9">
        <f t="shared" si="13"/>
        <v>47.24</v>
      </c>
    </row>
    <row r="62">
      <c r="A62" s="8">
        <v>61.0</v>
      </c>
      <c r="B62" s="8">
        <v>0.002</v>
      </c>
      <c r="C62" s="8">
        <v>0.163</v>
      </c>
      <c r="D62" s="9">
        <f t="shared" si="1"/>
        <v>50.46</v>
      </c>
      <c r="E62" s="9">
        <f t="shared" si="2"/>
        <v>0.95</v>
      </c>
      <c r="F62" s="10">
        <f t="shared" si="3"/>
        <v>2.000297822</v>
      </c>
      <c r="G62" s="11">
        <f t="shared" si="4"/>
        <v>70.03</v>
      </c>
      <c r="H62" s="10">
        <f t="shared" si="5"/>
        <v>86.854</v>
      </c>
      <c r="I62" s="10">
        <f t="shared" si="6"/>
        <v>22.24</v>
      </c>
      <c r="J62" s="12">
        <f t="shared" si="7"/>
        <v>31.758</v>
      </c>
      <c r="K62" s="13">
        <f t="shared" si="8"/>
        <v>0.888</v>
      </c>
      <c r="L62" s="10">
        <f t="shared" si="9"/>
        <v>0.165</v>
      </c>
      <c r="M62" s="10">
        <f t="shared" si="10"/>
        <v>0.04225846219</v>
      </c>
      <c r="N62" s="14">
        <f t="shared" si="11"/>
        <v>4.76</v>
      </c>
      <c r="O62" s="9">
        <f t="shared" si="12"/>
        <v>127</v>
      </c>
      <c r="P62" s="9">
        <f t="shared" si="13"/>
        <v>48.03</v>
      </c>
    </row>
    <row r="63">
      <c r="A63" s="8">
        <v>62.0</v>
      </c>
      <c r="B63" s="15">
        <v>4.265E-4</v>
      </c>
      <c r="C63" s="8">
        <v>0.073</v>
      </c>
      <c r="D63" s="9">
        <f t="shared" si="1"/>
        <v>23.3</v>
      </c>
      <c r="E63" s="16">
        <f t="shared" si="2"/>
        <v>1.01</v>
      </c>
      <c r="F63" s="10">
        <f t="shared" si="3"/>
        <v>1.999623585</v>
      </c>
      <c r="G63" s="11">
        <f t="shared" si="4"/>
        <v>69.28</v>
      </c>
      <c r="H63" s="10">
        <f t="shared" si="5"/>
        <v>86.344</v>
      </c>
      <c r="I63" s="10">
        <f t="shared" si="6"/>
        <v>21.93</v>
      </c>
      <c r="J63" s="12">
        <f t="shared" si="7"/>
        <v>31.654</v>
      </c>
      <c r="K63" s="13">
        <f t="shared" si="8"/>
        <v>0.89</v>
      </c>
      <c r="L63" s="10">
        <f t="shared" si="9"/>
        <v>0.164</v>
      </c>
      <c r="M63" s="10">
        <f t="shared" si="10"/>
        <v>0.04164820168</v>
      </c>
      <c r="N63" s="14">
        <f t="shared" si="11"/>
        <v>4.68</v>
      </c>
      <c r="O63" s="9">
        <f t="shared" si="12"/>
        <v>127</v>
      </c>
      <c r="P63" s="9">
        <f t="shared" si="13"/>
        <v>48.82</v>
      </c>
    </row>
    <row r="64">
      <c r="A64" s="8">
        <v>63.0</v>
      </c>
      <c r="B64" s="15">
        <v>6.366E-4</v>
      </c>
      <c r="C64" s="8">
        <v>0.09</v>
      </c>
      <c r="D64" s="9">
        <f t="shared" si="1"/>
        <v>28.47</v>
      </c>
      <c r="E64" s="16">
        <f t="shared" si="2"/>
        <v>0.99</v>
      </c>
      <c r="F64" s="10">
        <f t="shared" si="3"/>
        <v>1.998971517</v>
      </c>
      <c r="G64" s="11">
        <f t="shared" si="4"/>
        <v>68.63</v>
      </c>
      <c r="H64" s="10">
        <f t="shared" si="5"/>
        <v>85.799</v>
      </c>
      <c r="I64" s="10">
        <f t="shared" si="6"/>
        <v>21.61</v>
      </c>
      <c r="J64" s="12">
        <f t="shared" si="7"/>
        <v>31.488</v>
      </c>
      <c r="K64" s="13">
        <f t="shared" si="8"/>
        <v>0.891</v>
      </c>
      <c r="L64" s="10">
        <f t="shared" si="9"/>
        <v>0.163</v>
      </c>
      <c r="M64" s="10">
        <f t="shared" si="10"/>
        <v>0.0410510184</v>
      </c>
      <c r="N64" s="14">
        <f t="shared" si="11"/>
        <v>4.61</v>
      </c>
      <c r="O64" s="9">
        <f t="shared" si="12"/>
        <v>127</v>
      </c>
      <c r="P64" s="9">
        <f t="shared" si="13"/>
        <v>49.61</v>
      </c>
    </row>
    <row r="65">
      <c r="A65" s="8">
        <v>64.0</v>
      </c>
      <c r="B65" s="15">
        <v>3.374E-4</v>
      </c>
      <c r="C65" s="8">
        <v>0.064</v>
      </c>
      <c r="D65" s="9">
        <f t="shared" si="1"/>
        <v>20.73</v>
      </c>
      <c r="E65" s="16">
        <f t="shared" si="2"/>
        <v>1.04</v>
      </c>
      <c r="F65" s="10">
        <f t="shared" si="3"/>
        <v>1.998340543</v>
      </c>
      <c r="G65" s="11">
        <f t="shared" si="4"/>
        <v>67.88</v>
      </c>
      <c r="H65" s="10">
        <f t="shared" si="5"/>
        <v>85.325</v>
      </c>
      <c r="I65" s="10">
        <f t="shared" si="6"/>
        <v>21.31</v>
      </c>
      <c r="J65" s="12">
        <f t="shared" si="7"/>
        <v>31.394</v>
      </c>
      <c r="K65" s="13">
        <f t="shared" si="8"/>
        <v>0.894</v>
      </c>
      <c r="L65" s="10">
        <f t="shared" si="9"/>
        <v>0.163</v>
      </c>
      <c r="M65" s="10">
        <f t="shared" si="10"/>
        <v>0.04071618855</v>
      </c>
      <c r="N65" s="14">
        <f t="shared" si="11"/>
        <v>4.55</v>
      </c>
      <c r="O65" s="9">
        <f t="shared" si="12"/>
        <v>127</v>
      </c>
      <c r="P65" s="9">
        <f t="shared" si="13"/>
        <v>50.39</v>
      </c>
    </row>
    <row r="66">
      <c r="A66" s="8">
        <v>65.0</v>
      </c>
      <c r="B66" s="15">
        <v>5.92E-4</v>
      </c>
      <c r="C66" s="8">
        <v>0.091</v>
      </c>
      <c r="D66" s="9">
        <f t="shared" si="1"/>
        <v>27.45</v>
      </c>
      <c r="E66" s="16">
        <f t="shared" si="2"/>
        <v>0.9</v>
      </c>
      <c r="F66" s="10">
        <f t="shared" si="3"/>
        <v>1.997729654</v>
      </c>
      <c r="G66" s="11">
        <f t="shared" si="4"/>
        <v>67.26</v>
      </c>
      <c r="H66" s="10">
        <f t="shared" si="5"/>
        <v>84.804</v>
      </c>
      <c r="I66" s="10">
        <f t="shared" si="6"/>
        <v>21.01</v>
      </c>
      <c r="J66" s="12">
        <f t="shared" si="7"/>
        <v>31.237</v>
      </c>
      <c r="K66" s="13">
        <f t="shared" si="8"/>
        <v>0.894</v>
      </c>
      <c r="L66" s="10">
        <f t="shared" si="9"/>
        <v>0.162</v>
      </c>
      <c r="M66" s="10">
        <f t="shared" si="10"/>
        <v>0.04014163453</v>
      </c>
      <c r="N66" s="14">
        <f t="shared" si="11"/>
        <v>4.49</v>
      </c>
      <c r="O66" s="9">
        <f t="shared" si="12"/>
        <v>127</v>
      </c>
      <c r="P66" s="9">
        <f t="shared" si="13"/>
        <v>51.18</v>
      </c>
    </row>
    <row r="67">
      <c r="A67" s="8">
        <v>66.0</v>
      </c>
      <c r="B67" s="15">
        <v>6.366E-4</v>
      </c>
      <c r="C67" s="8">
        <v>0.089</v>
      </c>
      <c r="D67" s="9">
        <f t="shared" si="1"/>
        <v>28.47</v>
      </c>
      <c r="E67" s="16">
        <f t="shared" si="2"/>
        <v>1.01</v>
      </c>
      <c r="F67" s="10">
        <f t="shared" si="3"/>
        <v>1.997137908</v>
      </c>
      <c r="G67" s="11">
        <f t="shared" si="4"/>
        <v>66.67</v>
      </c>
      <c r="H67" s="10">
        <f t="shared" si="5"/>
        <v>84.285</v>
      </c>
      <c r="I67" s="10">
        <f t="shared" si="6"/>
        <v>20.72</v>
      </c>
      <c r="J67" s="12">
        <f t="shared" si="7"/>
        <v>31.078</v>
      </c>
      <c r="K67" s="13">
        <f t="shared" si="8"/>
        <v>0.895</v>
      </c>
      <c r="L67" s="10">
        <f t="shared" si="9"/>
        <v>0.161</v>
      </c>
      <c r="M67" s="10">
        <f t="shared" si="10"/>
        <v>0.03957873994</v>
      </c>
      <c r="N67" s="14">
        <f t="shared" si="11"/>
        <v>4.42</v>
      </c>
      <c r="O67" s="9">
        <f t="shared" si="12"/>
        <v>127</v>
      </c>
      <c r="P67" s="9">
        <f t="shared" si="13"/>
        <v>51.97</v>
      </c>
    </row>
    <row r="68">
      <c r="A68" s="8">
        <v>67.0</v>
      </c>
      <c r="B68" s="8">
        <v>0.001</v>
      </c>
      <c r="C68" s="8">
        <v>0.133</v>
      </c>
      <c r="D68" s="9">
        <f t="shared" si="1"/>
        <v>35.68</v>
      </c>
      <c r="E68" s="9">
        <f t="shared" si="2"/>
        <v>0.71</v>
      </c>
      <c r="F68" s="10">
        <f t="shared" si="3"/>
        <v>1.996564419</v>
      </c>
      <c r="G68" s="11">
        <f t="shared" si="4"/>
        <v>66.21</v>
      </c>
      <c r="H68" s="10">
        <f t="shared" si="5"/>
        <v>83.73</v>
      </c>
      <c r="I68" s="10">
        <f t="shared" si="6"/>
        <v>20.42</v>
      </c>
      <c r="J68" s="12">
        <f t="shared" si="7"/>
        <v>30.841</v>
      </c>
      <c r="K68" s="13">
        <f t="shared" si="8"/>
        <v>0.893</v>
      </c>
      <c r="L68" s="10">
        <f t="shared" si="9"/>
        <v>0.161</v>
      </c>
      <c r="M68" s="10">
        <f t="shared" si="10"/>
        <v>0.03927098568</v>
      </c>
      <c r="N68" s="14">
        <f t="shared" si="11"/>
        <v>4.4</v>
      </c>
      <c r="O68" s="9">
        <f t="shared" si="12"/>
        <v>127</v>
      </c>
      <c r="P68" s="9">
        <f t="shared" si="13"/>
        <v>52.76</v>
      </c>
    </row>
    <row r="69">
      <c r="A69" s="8">
        <v>68.0</v>
      </c>
      <c r="B69" s="15">
        <v>6.429E-4</v>
      </c>
      <c r="C69" s="8">
        <v>0.092</v>
      </c>
      <c r="D69" s="9">
        <f t="shared" si="1"/>
        <v>28.61</v>
      </c>
      <c r="E69" s="16">
        <f t="shared" si="2"/>
        <v>0.95</v>
      </c>
      <c r="F69" s="10">
        <f t="shared" si="3"/>
        <v>1.996008354</v>
      </c>
      <c r="G69" s="11">
        <f t="shared" si="4"/>
        <v>65.66</v>
      </c>
      <c r="H69" s="10">
        <f t="shared" si="5"/>
        <v>83.227</v>
      </c>
      <c r="I69" s="10">
        <f t="shared" si="6"/>
        <v>20.15</v>
      </c>
      <c r="J69" s="12">
        <f t="shared" si="7"/>
        <v>30.688</v>
      </c>
      <c r="K69" s="13">
        <f t="shared" si="8"/>
        <v>0.894</v>
      </c>
      <c r="L69" s="10">
        <f t="shared" si="9"/>
        <v>0.16</v>
      </c>
      <c r="M69" s="10">
        <f t="shared" si="10"/>
        <v>0.0387282507</v>
      </c>
      <c r="N69" s="14">
        <f t="shared" si="11"/>
        <v>4.33</v>
      </c>
      <c r="O69" s="9">
        <f t="shared" si="12"/>
        <v>127</v>
      </c>
      <c r="P69" s="9">
        <f t="shared" si="13"/>
        <v>53.54</v>
      </c>
    </row>
    <row r="70">
      <c r="A70" s="8">
        <v>69.0</v>
      </c>
      <c r="B70" s="8">
        <v>0.013</v>
      </c>
      <c r="C70" s="8">
        <v>0.503</v>
      </c>
      <c r="D70" s="9">
        <f t="shared" si="1"/>
        <v>128.66</v>
      </c>
      <c r="E70" s="9">
        <f t="shared" si="2"/>
        <v>0.65</v>
      </c>
      <c r="F70" s="10">
        <f t="shared" si="3"/>
        <v>1.995468931</v>
      </c>
      <c r="G70" s="11">
        <f t="shared" si="4"/>
        <v>66.57</v>
      </c>
      <c r="H70" s="10">
        <f t="shared" si="5"/>
        <v>82.961</v>
      </c>
      <c r="I70" s="10">
        <f t="shared" si="6"/>
        <v>19.93</v>
      </c>
      <c r="J70" s="12">
        <f t="shared" si="7"/>
        <v>29.938</v>
      </c>
      <c r="K70" s="13">
        <f t="shared" si="8"/>
        <v>0.89</v>
      </c>
      <c r="L70" s="10">
        <f t="shared" si="9"/>
        <v>0.162</v>
      </c>
      <c r="M70" s="10">
        <f t="shared" si="10"/>
        <v>0.0389166492</v>
      </c>
      <c r="N70" s="14">
        <f t="shared" si="11"/>
        <v>4.37</v>
      </c>
      <c r="O70" s="9">
        <f t="shared" si="12"/>
        <v>127</v>
      </c>
      <c r="P70" s="9">
        <f t="shared" si="13"/>
        <v>54.33</v>
      </c>
    </row>
    <row r="71">
      <c r="A71" s="8">
        <v>70.0</v>
      </c>
      <c r="B71" s="8">
        <v>0.002</v>
      </c>
      <c r="C71" s="8">
        <v>0.179</v>
      </c>
      <c r="D71" s="9">
        <f t="shared" si="1"/>
        <v>50.46</v>
      </c>
      <c r="E71" s="9">
        <f t="shared" si="2"/>
        <v>0.78</v>
      </c>
      <c r="F71" s="10">
        <f t="shared" si="3"/>
        <v>1.994945415</v>
      </c>
      <c r="G71" s="11">
        <f t="shared" si="4"/>
        <v>66.34</v>
      </c>
      <c r="H71" s="10">
        <f t="shared" si="5"/>
        <v>82.38</v>
      </c>
      <c r="I71" s="10">
        <f t="shared" si="6"/>
        <v>19.64</v>
      </c>
      <c r="J71" s="12">
        <f t="shared" si="7"/>
        <v>29.605</v>
      </c>
      <c r="K71" s="13">
        <f t="shared" si="8"/>
        <v>0.888</v>
      </c>
      <c r="L71" s="10">
        <f t="shared" si="9"/>
        <v>0.161</v>
      </c>
      <c r="M71" s="10">
        <f t="shared" si="10"/>
        <v>0.03838909493</v>
      </c>
      <c r="N71" s="14">
        <f t="shared" si="11"/>
        <v>4.32</v>
      </c>
      <c r="O71" s="9">
        <f t="shared" si="12"/>
        <v>127</v>
      </c>
      <c r="P71" s="9">
        <f t="shared" si="13"/>
        <v>55.12</v>
      </c>
    </row>
    <row r="72">
      <c r="A72" s="8">
        <v>71.0</v>
      </c>
      <c r="B72" s="15">
        <v>9.485E-4</v>
      </c>
      <c r="C72" s="8">
        <v>0.113</v>
      </c>
      <c r="D72" s="9">
        <f t="shared" si="1"/>
        <v>34.75</v>
      </c>
      <c r="E72" s="16">
        <f t="shared" si="2"/>
        <v>0.93</v>
      </c>
      <c r="F72" s="10">
        <f t="shared" si="3"/>
        <v>1.994437112</v>
      </c>
      <c r="G72" s="11">
        <f t="shared" si="4"/>
        <v>65.9</v>
      </c>
      <c r="H72" s="10">
        <f t="shared" si="5"/>
        <v>81.875</v>
      </c>
      <c r="I72" s="10">
        <f t="shared" si="6"/>
        <v>19.38</v>
      </c>
      <c r="J72" s="12">
        <f t="shared" si="7"/>
        <v>29.408</v>
      </c>
      <c r="K72" s="13">
        <f t="shared" si="8"/>
        <v>0.889</v>
      </c>
      <c r="L72" s="10">
        <f t="shared" si="9"/>
        <v>0.16</v>
      </c>
      <c r="M72" s="10">
        <f t="shared" si="10"/>
        <v>0.03787138212</v>
      </c>
      <c r="N72" s="14">
        <f t="shared" si="11"/>
        <v>4.26</v>
      </c>
      <c r="O72" s="9">
        <f t="shared" si="12"/>
        <v>127</v>
      </c>
      <c r="P72" s="9">
        <f t="shared" si="13"/>
        <v>55.91</v>
      </c>
    </row>
    <row r="73">
      <c r="A73" s="8">
        <v>72.0</v>
      </c>
      <c r="B73" s="8">
        <v>0.002</v>
      </c>
      <c r="C73" s="8">
        <v>0.166</v>
      </c>
      <c r="D73" s="9">
        <f t="shared" si="1"/>
        <v>50.46</v>
      </c>
      <c r="E73" s="9">
        <f t="shared" si="2"/>
        <v>0.91</v>
      </c>
      <c r="F73" s="10">
        <f t="shared" si="3"/>
        <v>1.993943368</v>
      </c>
      <c r="G73" s="11">
        <f t="shared" si="4"/>
        <v>65.68</v>
      </c>
      <c r="H73" s="10">
        <f t="shared" si="5"/>
        <v>81.317</v>
      </c>
      <c r="I73" s="10">
        <f t="shared" si="6"/>
        <v>19.11</v>
      </c>
      <c r="J73" s="12">
        <f t="shared" si="7"/>
        <v>29.096</v>
      </c>
      <c r="K73" s="13">
        <f t="shared" si="8"/>
        <v>0.889</v>
      </c>
      <c r="L73" s="10">
        <f t="shared" si="9"/>
        <v>0.159</v>
      </c>
      <c r="M73" s="10">
        <f t="shared" si="10"/>
        <v>0.03736316823</v>
      </c>
      <c r="N73" s="14">
        <f t="shared" si="11"/>
        <v>4.2</v>
      </c>
      <c r="O73" s="9">
        <f t="shared" si="12"/>
        <v>127</v>
      </c>
      <c r="P73" s="9">
        <f t="shared" si="13"/>
        <v>56.69</v>
      </c>
    </row>
    <row r="74">
      <c r="A74" s="8">
        <v>73.0</v>
      </c>
      <c r="B74" s="15">
        <v>6.175E-4</v>
      </c>
      <c r="C74" s="8">
        <v>0.089</v>
      </c>
      <c r="D74" s="9">
        <f t="shared" si="1"/>
        <v>28.04</v>
      </c>
      <c r="E74" s="16">
        <f t="shared" si="2"/>
        <v>0.98</v>
      </c>
      <c r="F74" s="10">
        <f t="shared" si="3"/>
        <v>1.993463567</v>
      </c>
      <c r="G74" s="11">
        <f t="shared" si="4"/>
        <v>65.17</v>
      </c>
      <c r="H74" s="10">
        <f t="shared" si="5"/>
        <v>80.87</v>
      </c>
      <c r="I74" s="10">
        <f t="shared" si="6"/>
        <v>18.87</v>
      </c>
      <c r="J74" s="12">
        <f t="shared" si="7"/>
        <v>28.955</v>
      </c>
      <c r="K74" s="13">
        <f t="shared" si="8"/>
        <v>0.891</v>
      </c>
      <c r="L74" s="10">
        <f t="shared" si="9"/>
        <v>0.158</v>
      </c>
      <c r="M74" s="10">
        <f t="shared" si="10"/>
        <v>0.03686412751</v>
      </c>
      <c r="N74" s="14">
        <f t="shared" si="11"/>
        <v>4.14</v>
      </c>
      <c r="O74" s="9">
        <f t="shared" si="12"/>
        <v>127</v>
      </c>
      <c r="P74" s="9">
        <f t="shared" si="13"/>
        <v>57.48</v>
      </c>
    </row>
    <row r="75">
      <c r="A75" s="8">
        <v>74.0</v>
      </c>
      <c r="B75" s="8">
        <v>0.009</v>
      </c>
      <c r="C75" s="8">
        <v>0.474</v>
      </c>
      <c r="D75" s="9">
        <f t="shared" si="1"/>
        <v>107.05</v>
      </c>
      <c r="E75" s="9">
        <f t="shared" si="2"/>
        <v>0.5</v>
      </c>
      <c r="F75" s="10">
        <f t="shared" si="3"/>
        <v>1.992997126</v>
      </c>
      <c r="G75" s="11">
        <f t="shared" si="4"/>
        <v>65.73</v>
      </c>
      <c r="H75" s="10">
        <f t="shared" si="5"/>
        <v>80.462</v>
      </c>
      <c r="I75" s="10">
        <f t="shared" si="6"/>
        <v>18.64</v>
      </c>
      <c r="J75" s="12">
        <f t="shared" si="7"/>
        <v>28.358</v>
      </c>
      <c r="K75" s="13">
        <f t="shared" si="8"/>
        <v>0.885</v>
      </c>
      <c r="L75" s="10">
        <f t="shared" si="9"/>
        <v>0.164</v>
      </c>
      <c r="M75" s="10">
        <f t="shared" si="10"/>
        <v>0.03799571842</v>
      </c>
      <c r="N75" s="14">
        <f t="shared" si="11"/>
        <v>4.29</v>
      </c>
      <c r="O75" s="9">
        <f t="shared" si="12"/>
        <v>127</v>
      </c>
      <c r="P75" s="9">
        <f t="shared" si="13"/>
        <v>58.27</v>
      </c>
    </row>
    <row r="76">
      <c r="A76" s="8">
        <v>75.0</v>
      </c>
      <c r="B76" s="8">
        <v>0.002</v>
      </c>
      <c r="C76" s="8">
        <v>0.153</v>
      </c>
      <c r="D76" s="9">
        <f t="shared" si="1"/>
        <v>50.46</v>
      </c>
      <c r="E76" s="9">
        <f t="shared" si="2"/>
        <v>1.07</v>
      </c>
      <c r="F76" s="10">
        <f t="shared" si="3"/>
        <v>1.992543495</v>
      </c>
      <c r="G76" s="11">
        <f t="shared" si="4"/>
        <v>65.53</v>
      </c>
      <c r="H76" s="10">
        <f t="shared" si="5"/>
        <v>79.936</v>
      </c>
      <c r="I76" s="10">
        <f t="shared" si="6"/>
        <v>18.39</v>
      </c>
      <c r="J76" s="12">
        <f t="shared" si="7"/>
        <v>28.063</v>
      </c>
      <c r="K76" s="13">
        <f t="shared" si="8"/>
        <v>0.888</v>
      </c>
      <c r="L76" s="10">
        <f t="shared" si="9"/>
        <v>0.164</v>
      </c>
      <c r="M76" s="10">
        <f t="shared" si="10"/>
        <v>0.03773297316</v>
      </c>
      <c r="N76" s="14">
        <f t="shared" si="11"/>
        <v>4.25</v>
      </c>
      <c r="O76" s="9">
        <f t="shared" si="12"/>
        <v>127</v>
      </c>
      <c r="P76" s="9">
        <f t="shared" si="13"/>
        <v>59.06</v>
      </c>
    </row>
    <row r="77">
      <c r="A77" s="8">
        <v>76.0</v>
      </c>
      <c r="B77" s="8">
        <v>0.003</v>
      </c>
      <c r="C77" s="8">
        <v>0.217</v>
      </c>
      <c r="D77" s="9">
        <f t="shared" si="1"/>
        <v>61.8</v>
      </c>
      <c r="E77" s="9">
        <f t="shared" si="2"/>
        <v>0.8</v>
      </c>
      <c r="F77" s="10">
        <f t="shared" si="3"/>
        <v>1.992102154</v>
      </c>
      <c r="G77" s="11">
        <f t="shared" si="4"/>
        <v>65.48</v>
      </c>
      <c r="H77" s="10">
        <f t="shared" si="5"/>
        <v>79.402</v>
      </c>
      <c r="I77" s="10">
        <f t="shared" si="6"/>
        <v>18.14</v>
      </c>
      <c r="J77" s="12">
        <f t="shared" si="7"/>
        <v>27.703</v>
      </c>
      <c r="K77" s="13">
        <f t="shared" si="8"/>
        <v>0.887</v>
      </c>
      <c r="L77" s="10">
        <f t="shared" si="9"/>
        <v>0.163</v>
      </c>
      <c r="M77" s="10">
        <f t="shared" si="10"/>
        <v>0.03724709557</v>
      </c>
      <c r="N77" s="14">
        <f t="shared" si="11"/>
        <v>4.2</v>
      </c>
      <c r="O77" s="9">
        <f t="shared" si="12"/>
        <v>127</v>
      </c>
      <c r="P77" s="9">
        <f t="shared" si="13"/>
        <v>59.84</v>
      </c>
    </row>
    <row r="78">
      <c r="A78" s="8">
        <v>77.0</v>
      </c>
      <c r="B78" s="15">
        <v>1.719E-4</v>
      </c>
      <c r="C78" s="8">
        <v>0.046</v>
      </c>
      <c r="D78" s="9">
        <f t="shared" si="1"/>
        <v>14.79</v>
      </c>
      <c r="E78" s="16">
        <f t="shared" si="2"/>
        <v>1.02</v>
      </c>
      <c r="F78" s="10">
        <f t="shared" si="3"/>
        <v>1.99167261</v>
      </c>
      <c r="G78" s="11">
        <f t="shared" si="4"/>
        <v>64.82</v>
      </c>
      <c r="H78" s="10">
        <f t="shared" si="5"/>
        <v>79.089</v>
      </c>
      <c r="I78" s="10">
        <f t="shared" si="6"/>
        <v>17.95</v>
      </c>
      <c r="J78" s="12">
        <f t="shared" si="7"/>
        <v>27.692</v>
      </c>
      <c r="K78" s="13">
        <f t="shared" si="8"/>
        <v>0.888</v>
      </c>
      <c r="L78" s="10">
        <f t="shared" si="9"/>
        <v>0.163</v>
      </c>
      <c r="M78" s="10">
        <f t="shared" si="10"/>
        <v>0.03699646187</v>
      </c>
      <c r="N78" s="14">
        <f t="shared" si="11"/>
        <v>4.17</v>
      </c>
      <c r="O78" s="9">
        <f t="shared" si="12"/>
        <v>127</v>
      </c>
      <c r="P78" s="9">
        <f t="shared" si="13"/>
        <v>60.63</v>
      </c>
    </row>
    <row r="79">
      <c r="A79" s="8">
        <v>78.0</v>
      </c>
      <c r="B79" s="8">
        <v>0.002</v>
      </c>
      <c r="C79" s="8">
        <v>0.146</v>
      </c>
      <c r="D79" s="9">
        <f t="shared" si="1"/>
        <v>50.46</v>
      </c>
      <c r="E79" s="9">
        <f t="shared" si="2"/>
        <v>1.18</v>
      </c>
      <c r="F79" s="10">
        <f t="shared" si="3"/>
        <v>1.991254395</v>
      </c>
      <c r="G79" s="11">
        <f t="shared" si="4"/>
        <v>64.64</v>
      </c>
      <c r="H79" s="10">
        <f t="shared" si="5"/>
        <v>78.591</v>
      </c>
      <c r="I79" s="10">
        <f t="shared" si="6"/>
        <v>17.72</v>
      </c>
      <c r="J79" s="12">
        <f t="shared" si="7"/>
        <v>27.413</v>
      </c>
      <c r="K79" s="13">
        <f t="shared" si="8"/>
        <v>0.892</v>
      </c>
      <c r="L79" s="10">
        <f t="shared" si="9"/>
        <v>0.165</v>
      </c>
      <c r="M79" s="10">
        <f t="shared" si="10"/>
        <v>0.03720175175</v>
      </c>
      <c r="N79" s="14">
        <f t="shared" si="11"/>
        <v>4.17</v>
      </c>
      <c r="O79" s="9">
        <f t="shared" si="12"/>
        <v>127</v>
      </c>
      <c r="P79" s="9">
        <f t="shared" si="13"/>
        <v>61.42</v>
      </c>
    </row>
    <row r="80">
      <c r="A80" s="8">
        <v>79.0</v>
      </c>
      <c r="B80" s="15">
        <v>0.002</v>
      </c>
      <c r="C80" s="8">
        <v>0.174</v>
      </c>
      <c r="D80" s="9">
        <f t="shared" si="1"/>
        <v>50.46</v>
      </c>
      <c r="E80" s="16">
        <f t="shared" si="2"/>
        <v>0.83</v>
      </c>
      <c r="F80" s="10">
        <f t="shared" si="3"/>
        <v>1.990847069</v>
      </c>
      <c r="G80" s="11">
        <f t="shared" si="4"/>
        <v>64.46</v>
      </c>
      <c r="H80" s="10">
        <f t="shared" si="5"/>
        <v>78.102</v>
      </c>
      <c r="I80" s="10">
        <f t="shared" si="6"/>
        <v>17.49</v>
      </c>
      <c r="J80" s="12">
        <f t="shared" si="7"/>
        <v>27.133</v>
      </c>
      <c r="K80" s="13">
        <f t="shared" si="8"/>
        <v>0.891</v>
      </c>
      <c r="L80" s="10">
        <f t="shared" si="9"/>
        <v>0.164</v>
      </c>
      <c r="M80" s="10">
        <f t="shared" si="10"/>
        <v>0.03673399838</v>
      </c>
      <c r="N80" s="14">
        <f t="shared" si="11"/>
        <v>4.12</v>
      </c>
      <c r="O80" s="9">
        <f t="shared" si="12"/>
        <v>127</v>
      </c>
      <c r="P80" s="9">
        <f t="shared" si="13"/>
        <v>62.2</v>
      </c>
    </row>
    <row r="81">
      <c r="A81" s="8">
        <v>80.0</v>
      </c>
      <c r="B81" s="8">
        <v>0.002</v>
      </c>
      <c r="C81" s="8">
        <v>0.154</v>
      </c>
      <c r="D81" s="9">
        <f t="shared" si="1"/>
        <v>50.46</v>
      </c>
      <c r="E81" s="9">
        <f t="shared" si="2"/>
        <v>1.06</v>
      </c>
      <c r="F81" s="10">
        <f t="shared" si="3"/>
        <v>1.99045021</v>
      </c>
      <c r="G81" s="11">
        <f t="shared" si="4"/>
        <v>64.28</v>
      </c>
      <c r="H81" s="10">
        <f t="shared" si="5"/>
        <v>77.622</v>
      </c>
      <c r="I81" s="10">
        <f t="shared" si="6"/>
        <v>17.27</v>
      </c>
      <c r="J81" s="12">
        <f t="shared" si="7"/>
        <v>26.867</v>
      </c>
      <c r="K81" s="13">
        <f t="shared" si="8"/>
        <v>0.893</v>
      </c>
      <c r="L81" s="10">
        <f t="shared" si="9"/>
        <v>0.164</v>
      </c>
      <c r="M81" s="10">
        <f t="shared" si="10"/>
        <v>0.0364964122</v>
      </c>
      <c r="N81" s="14">
        <f t="shared" si="11"/>
        <v>4.09</v>
      </c>
      <c r="O81" s="9">
        <f t="shared" si="12"/>
        <v>127</v>
      </c>
      <c r="P81" s="9">
        <f t="shared" si="13"/>
        <v>62.99</v>
      </c>
    </row>
    <row r="82">
      <c r="A82" s="8">
        <v>81.0</v>
      </c>
      <c r="B82" s="8">
        <v>0.001</v>
      </c>
      <c r="C82" s="8">
        <v>0.141</v>
      </c>
      <c r="D82" s="9">
        <f t="shared" si="1"/>
        <v>35.68</v>
      </c>
      <c r="E82" s="9">
        <f t="shared" si="2"/>
        <v>0.63</v>
      </c>
      <c r="F82" s="10">
        <f t="shared" si="3"/>
        <v>1.990063421</v>
      </c>
      <c r="G82" s="11">
        <f t="shared" si="4"/>
        <v>63.93</v>
      </c>
      <c r="H82" s="10">
        <f t="shared" si="5"/>
        <v>77.201</v>
      </c>
      <c r="I82" s="10">
        <f t="shared" si="6"/>
        <v>17.07</v>
      </c>
      <c r="J82" s="12">
        <f t="shared" si="7"/>
        <v>26.701</v>
      </c>
      <c r="K82" s="13">
        <f t="shared" si="8"/>
        <v>0.89</v>
      </c>
      <c r="L82" s="10">
        <f t="shared" si="9"/>
        <v>0.166</v>
      </c>
      <c r="M82" s="10">
        <f t="shared" si="10"/>
        <v>0.03670561421</v>
      </c>
      <c r="N82" s="14">
        <f t="shared" si="11"/>
        <v>4.12</v>
      </c>
      <c r="O82" s="9">
        <f t="shared" si="12"/>
        <v>127</v>
      </c>
      <c r="P82" s="9">
        <f t="shared" si="13"/>
        <v>63.78</v>
      </c>
    </row>
    <row r="83">
      <c r="A83" s="8">
        <v>82.0</v>
      </c>
      <c r="B83" s="8">
        <v>0.002</v>
      </c>
      <c r="C83" s="8">
        <v>0.181</v>
      </c>
      <c r="D83" s="9">
        <f t="shared" si="1"/>
        <v>50.46</v>
      </c>
      <c r="E83" s="9">
        <f t="shared" si="2"/>
        <v>0.77</v>
      </c>
      <c r="F83" s="10">
        <f t="shared" si="3"/>
        <v>1.989686323</v>
      </c>
      <c r="G83" s="11">
        <f t="shared" si="4"/>
        <v>63.76</v>
      </c>
      <c r="H83" s="10">
        <f t="shared" si="5"/>
        <v>76.737</v>
      </c>
      <c r="I83" s="10">
        <f t="shared" si="6"/>
        <v>16.86</v>
      </c>
      <c r="J83" s="12">
        <f t="shared" si="7"/>
        <v>26.443</v>
      </c>
      <c r="K83" s="13">
        <f t="shared" si="8"/>
        <v>0.889</v>
      </c>
      <c r="L83" s="10">
        <f t="shared" si="9"/>
        <v>0.165</v>
      </c>
      <c r="M83" s="10">
        <f t="shared" si="10"/>
        <v>0.03625447602</v>
      </c>
      <c r="N83" s="14">
        <f t="shared" si="11"/>
        <v>4.08</v>
      </c>
      <c r="O83" s="9">
        <f t="shared" si="12"/>
        <v>127</v>
      </c>
      <c r="P83" s="9">
        <f t="shared" si="13"/>
        <v>64.57</v>
      </c>
    </row>
    <row r="84">
      <c r="A84" s="8">
        <v>83.0</v>
      </c>
      <c r="B84" s="8">
        <v>0.001</v>
      </c>
      <c r="C84" s="8">
        <v>0.135</v>
      </c>
      <c r="D84" s="9">
        <f t="shared" si="1"/>
        <v>35.68</v>
      </c>
      <c r="E84" s="9">
        <f t="shared" si="2"/>
        <v>0.69</v>
      </c>
      <c r="F84" s="10">
        <f t="shared" si="3"/>
        <v>1.989318557</v>
      </c>
      <c r="G84" s="11">
        <f t="shared" si="4"/>
        <v>63.43</v>
      </c>
      <c r="H84" s="10">
        <f t="shared" si="5"/>
        <v>76.33</v>
      </c>
      <c r="I84" s="10">
        <f t="shared" si="6"/>
        <v>16.67</v>
      </c>
      <c r="J84" s="12">
        <f t="shared" si="7"/>
        <v>26.281</v>
      </c>
      <c r="K84" s="13">
        <f t="shared" si="8"/>
        <v>0.886</v>
      </c>
      <c r="L84" s="10">
        <f t="shared" si="9"/>
        <v>0.166</v>
      </c>
      <c r="M84" s="10">
        <f t="shared" si="10"/>
        <v>0.03624710917</v>
      </c>
      <c r="N84" s="14">
        <f t="shared" si="11"/>
        <v>4.09</v>
      </c>
      <c r="O84" s="9">
        <f t="shared" si="12"/>
        <v>127</v>
      </c>
      <c r="P84" s="9">
        <f t="shared" si="13"/>
        <v>65.35</v>
      </c>
    </row>
    <row r="85">
      <c r="A85" s="8">
        <v>84.0</v>
      </c>
      <c r="B85" s="15">
        <v>5.602E-4</v>
      </c>
      <c r="C85" s="8">
        <v>0.085</v>
      </c>
      <c r="D85" s="9">
        <f t="shared" si="1"/>
        <v>26.71</v>
      </c>
      <c r="E85" s="16">
        <f t="shared" si="2"/>
        <v>0.97</v>
      </c>
      <c r="F85" s="10">
        <f t="shared" si="3"/>
        <v>1.98895978</v>
      </c>
      <c r="G85" s="11">
        <f t="shared" si="4"/>
        <v>62.99</v>
      </c>
      <c r="H85" s="10">
        <f t="shared" si="5"/>
        <v>75.974</v>
      </c>
      <c r="I85" s="10">
        <f t="shared" si="6"/>
        <v>16.49</v>
      </c>
      <c r="J85" s="12">
        <f t="shared" si="7"/>
        <v>26.179</v>
      </c>
      <c r="K85" s="13">
        <f t="shared" si="8"/>
        <v>0.887</v>
      </c>
      <c r="L85" s="10">
        <f t="shared" si="9"/>
        <v>0.165</v>
      </c>
      <c r="M85" s="10">
        <f t="shared" si="10"/>
        <v>0.03580719508</v>
      </c>
      <c r="N85" s="14">
        <f t="shared" si="11"/>
        <v>4.04</v>
      </c>
      <c r="O85" s="9">
        <f t="shared" si="12"/>
        <v>127</v>
      </c>
      <c r="P85" s="9">
        <f t="shared" si="13"/>
        <v>66.14</v>
      </c>
    </row>
    <row r="86">
      <c r="A86" s="8">
        <v>85.0</v>
      </c>
      <c r="B86" s="15">
        <v>4.711E-4</v>
      </c>
      <c r="C86" s="8">
        <v>0.077</v>
      </c>
      <c r="D86" s="9">
        <f t="shared" si="1"/>
        <v>24.49</v>
      </c>
      <c r="E86" s="16">
        <f t="shared" si="2"/>
        <v>1</v>
      </c>
      <c r="F86" s="10">
        <f t="shared" si="3"/>
        <v>1.988609667</v>
      </c>
      <c r="G86" s="11">
        <f t="shared" si="4"/>
        <v>62.54</v>
      </c>
      <c r="H86" s="10">
        <f t="shared" si="5"/>
        <v>75.636</v>
      </c>
      <c r="I86" s="10">
        <f t="shared" si="6"/>
        <v>16.31</v>
      </c>
      <c r="J86" s="12">
        <f t="shared" si="7"/>
        <v>26.079</v>
      </c>
      <c r="K86" s="13">
        <f t="shared" si="8"/>
        <v>0.889</v>
      </c>
      <c r="L86" s="10">
        <f t="shared" si="9"/>
        <v>0.164</v>
      </c>
      <c r="M86" s="10">
        <f t="shared" si="10"/>
        <v>0.03537398045</v>
      </c>
      <c r="N86" s="14">
        <f t="shared" si="11"/>
        <v>3.98</v>
      </c>
      <c r="O86" s="9">
        <f t="shared" si="12"/>
        <v>127</v>
      </c>
      <c r="P86" s="9">
        <f t="shared" si="13"/>
        <v>66.93</v>
      </c>
    </row>
    <row r="87">
      <c r="A87" s="8">
        <v>86.0</v>
      </c>
      <c r="B87" s="15">
        <v>2.483E-4</v>
      </c>
      <c r="C87" s="8">
        <v>0.054</v>
      </c>
      <c r="D87" s="9">
        <f t="shared" si="1"/>
        <v>17.78</v>
      </c>
      <c r="E87" s="16">
        <f t="shared" si="2"/>
        <v>1.07</v>
      </c>
      <c r="F87" s="10">
        <f t="shared" si="3"/>
        <v>1.988267907</v>
      </c>
      <c r="G87" s="11">
        <f t="shared" si="4"/>
        <v>62.02</v>
      </c>
      <c r="H87" s="10">
        <f t="shared" si="5"/>
        <v>75.345</v>
      </c>
      <c r="I87" s="10">
        <f t="shared" si="6"/>
        <v>16.15</v>
      </c>
      <c r="J87" s="12">
        <f t="shared" si="7"/>
        <v>26.04</v>
      </c>
      <c r="K87" s="13">
        <f t="shared" si="8"/>
        <v>0.891</v>
      </c>
      <c r="L87" s="10">
        <f t="shared" si="9"/>
        <v>0.165</v>
      </c>
      <c r="M87" s="10">
        <f t="shared" si="10"/>
        <v>0.03537607299</v>
      </c>
      <c r="N87" s="14">
        <f t="shared" si="11"/>
        <v>3.97</v>
      </c>
      <c r="O87" s="9">
        <f t="shared" si="12"/>
        <v>127</v>
      </c>
      <c r="P87" s="9">
        <f t="shared" si="13"/>
        <v>67.72</v>
      </c>
    </row>
    <row r="88">
      <c r="A88" s="8">
        <v>87.0</v>
      </c>
      <c r="B88" s="8">
        <v>0.001</v>
      </c>
      <c r="C88" s="8">
        <v>0.117</v>
      </c>
      <c r="D88" s="9">
        <f t="shared" si="1"/>
        <v>35.68</v>
      </c>
      <c r="E88" s="9">
        <f t="shared" si="2"/>
        <v>0.92</v>
      </c>
      <c r="F88" s="10">
        <f t="shared" si="3"/>
        <v>1.987934206</v>
      </c>
      <c r="G88" s="11">
        <f t="shared" si="4"/>
        <v>61.71</v>
      </c>
      <c r="H88" s="10">
        <f t="shared" si="5"/>
        <v>74.958</v>
      </c>
      <c r="I88" s="10">
        <f t="shared" si="6"/>
        <v>15.98</v>
      </c>
      <c r="J88" s="12">
        <f t="shared" si="7"/>
        <v>25.895</v>
      </c>
      <c r="K88" s="13">
        <f t="shared" si="8"/>
        <v>0.891</v>
      </c>
      <c r="L88" s="10">
        <f t="shared" si="9"/>
        <v>0.164</v>
      </c>
      <c r="M88" s="10">
        <f t="shared" si="10"/>
        <v>0.03495314257</v>
      </c>
      <c r="N88" s="14">
        <f t="shared" si="11"/>
        <v>3.92</v>
      </c>
      <c r="O88" s="9">
        <f t="shared" si="12"/>
        <v>127</v>
      </c>
      <c r="P88" s="9">
        <f t="shared" si="13"/>
        <v>68.5</v>
      </c>
    </row>
    <row r="89">
      <c r="A89" s="8">
        <v>88.0</v>
      </c>
      <c r="B89" s="8">
        <v>0.002</v>
      </c>
      <c r="C89" s="8">
        <v>0.181</v>
      </c>
      <c r="D89" s="9">
        <f t="shared" si="1"/>
        <v>50.46</v>
      </c>
      <c r="E89" s="9">
        <f t="shared" si="2"/>
        <v>0.77</v>
      </c>
      <c r="F89" s="10">
        <f t="shared" si="3"/>
        <v>1.987608282</v>
      </c>
      <c r="G89" s="11">
        <f t="shared" si="4"/>
        <v>61.59</v>
      </c>
      <c r="H89" s="10">
        <f t="shared" si="5"/>
        <v>74.536</v>
      </c>
      <c r="I89" s="10">
        <f t="shared" si="6"/>
        <v>15.79</v>
      </c>
      <c r="J89" s="12">
        <f t="shared" si="7"/>
        <v>25.637</v>
      </c>
      <c r="K89" s="13">
        <f t="shared" si="8"/>
        <v>0.89</v>
      </c>
      <c r="L89" s="10">
        <f t="shared" si="9"/>
        <v>0.163</v>
      </c>
      <c r="M89" s="10">
        <f t="shared" si="10"/>
        <v>0.03453640002</v>
      </c>
      <c r="N89" s="14">
        <f t="shared" si="11"/>
        <v>3.88</v>
      </c>
      <c r="O89" s="9">
        <f t="shared" si="12"/>
        <v>127</v>
      </c>
      <c r="P89" s="9">
        <f t="shared" si="13"/>
        <v>69.29</v>
      </c>
    </row>
    <row r="90">
      <c r="A90" s="8">
        <v>89.0</v>
      </c>
      <c r="B90" s="15">
        <v>8.466E-4</v>
      </c>
      <c r="C90" s="8">
        <v>0.106</v>
      </c>
      <c r="D90" s="9">
        <f t="shared" si="1"/>
        <v>32.83</v>
      </c>
      <c r="E90" s="16">
        <f t="shared" si="2"/>
        <v>0.95</v>
      </c>
      <c r="F90" s="10">
        <f t="shared" si="3"/>
        <v>1.987289865</v>
      </c>
      <c r="G90" s="11">
        <f t="shared" si="4"/>
        <v>61.26</v>
      </c>
      <c r="H90" s="10">
        <f t="shared" si="5"/>
        <v>74.174</v>
      </c>
      <c r="I90" s="10">
        <f t="shared" si="6"/>
        <v>15.62</v>
      </c>
      <c r="J90" s="12">
        <f t="shared" si="7"/>
        <v>25.498</v>
      </c>
      <c r="K90" s="13">
        <f t="shared" si="8"/>
        <v>0.89</v>
      </c>
      <c r="L90" s="10">
        <f t="shared" si="9"/>
        <v>0.162</v>
      </c>
      <c r="M90" s="10">
        <f t="shared" si="10"/>
        <v>0.03412567331</v>
      </c>
      <c r="N90" s="14">
        <f t="shared" si="11"/>
        <v>3.83</v>
      </c>
      <c r="O90" s="9">
        <f t="shared" si="12"/>
        <v>127</v>
      </c>
      <c r="P90" s="9">
        <f t="shared" si="13"/>
        <v>70.08</v>
      </c>
    </row>
    <row r="91">
      <c r="A91" s="8">
        <v>90.0</v>
      </c>
      <c r="B91" s="8">
        <v>0.002</v>
      </c>
      <c r="C91" s="8">
        <v>0.149</v>
      </c>
      <c r="D91" s="9">
        <f t="shared" si="1"/>
        <v>50.46</v>
      </c>
      <c r="E91" s="9">
        <f t="shared" si="2"/>
        <v>1.13</v>
      </c>
      <c r="F91" s="10">
        <f t="shared" si="3"/>
        <v>1.9869787</v>
      </c>
      <c r="G91" s="11">
        <f t="shared" si="4"/>
        <v>61.14</v>
      </c>
      <c r="H91" s="10">
        <f t="shared" si="5"/>
        <v>73.765</v>
      </c>
      <c r="I91" s="10">
        <f t="shared" si="6"/>
        <v>15.45</v>
      </c>
      <c r="J91" s="12">
        <f t="shared" si="7"/>
        <v>25.27</v>
      </c>
      <c r="K91" s="13">
        <f t="shared" si="8"/>
        <v>0.893</v>
      </c>
      <c r="L91" s="10">
        <f t="shared" si="9"/>
        <v>0.163</v>
      </c>
      <c r="M91" s="10">
        <f t="shared" si="10"/>
        <v>0.03413968905</v>
      </c>
      <c r="N91" s="14">
        <f t="shared" si="11"/>
        <v>3.82</v>
      </c>
      <c r="O91" s="9">
        <f t="shared" si="12"/>
        <v>127</v>
      </c>
      <c r="P91" s="9">
        <f t="shared" si="13"/>
        <v>70.87</v>
      </c>
    </row>
    <row r="92">
      <c r="A92" s="8">
        <v>91.0</v>
      </c>
      <c r="B92" s="15">
        <v>0.002</v>
      </c>
      <c r="C92" s="8">
        <v>0.179</v>
      </c>
      <c r="D92" s="9">
        <f t="shared" si="1"/>
        <v>50.46</v>
      </c>
      <c r="E92" s="16">
        <f t="shared" si="2"/>
        <v>0.78</v>
      </c>
      <c r="F92" s="10">
        <f t="shared" si="3"/>
        <v>1.986674541</v>
      </c>
      <c r="G92" s="11">
        <f t="shared" si="4"/>
        <v>61.02</v>
      </c>
      <c r="H92" s="10">
        <f t="shared" si="5"/>
        <v>73.363</v>
      </c>
      <c r="I92" s="10">
        <f t="shared" si="6"/>
        <v>15.28</v>
      </c>
      <c r="J92" s="12">
        <f t="shared" si="7"/>
        <v>25.041</v>
      </c>
      <c r="K92" s="13">
        <f t="shared" si="8"/>
        <v>0.892</v>
      </c>
      <c r="L92" s="10">
        <f t="shared" si="9"/>
        <v>0.163</v>
      </c>
      <c r="M92" s="10">
        <f t="shared" si="10"/>
        <v>0.03394639298</v>
      </c>
      <c r="N92" s="14">
        <f t="shared" si="11"/>
        <v>3.81</v>
      </c>
      <c r="O92" s="9">
        <f t="shared" si="12"/>
        <v>127</v>
      </c>
      <c r="P92" s="9">
        <f t="shared" si="13"/>
        <v>71.65</v>
      </c>
    </row>
    <row r="93">
      <c r="A93" s="8">
        <v>92.0</v>
      </c>
      <c r="B93" s="15">
        <v>7.32E-4</v>
      </c>
      <c r="C93" s="8">
        <v>0.098</v>
      </c>
      <c r="D93" s="9">
        <f t="shared" si="1"/>
        <v>30.53</v>
      </c>
      <c r="E93" s="16">
        <f t="shared" si="2"/>
        <v>0.96</v>
      </c>
      <c r="F93" s="10">
        <f t="shared" si="3"/>
        <v>1.986377154</v>
      </c>
      <c r="G93" s="11">
        <f t="shared" si="4"/>
        <v>60.69</v>
      </c>
      <c r="H93" s="10">
        <f t="shared" si="5"/>
        <v>73.028</v>
      </c>
      <c r="I93" s="10">
        <f t="shared" si="6"/>
        <v>15.12</v>
      </c>
      <c r="J93" s="12">
        <f t="shared" si="7"/>
        <v>24.913</v>
      </c>
      <c r="K93" s="13">
        <f t="shared" si="8"/>
        <v>0.893</v>
      </c>
      <c r="L93" s="10">
        <f t="shared" si="9"/>
        <v>0.162</v>
      </c>
      <c r="M93" s="10">
        <f t="shared" si="10"/>
        <v>0.03354924974</v>
      </c>
      <c r="N93" s="14">
        <f t="shared" si="11"/>
        <v>3.76</v>
      </c>
      <c r="O93" s="9">
        <f t="shared" si="12"/>
        <v>127</v>
      </c>
      <c r="P93" s="9">
        <f t="shared" si="13"/>
        <v>72.44</v>
      </c>
    </row>
    <row r="94">
      <c r="A94" s="8">
        <v>93.0</v>
      </c>
      <c r="B94" s="15">
        <v>5.92E-4</v>
      </c>
      <c r="C94" s="8">
        <v>0.089</v>
      </c>
      <c r="D94" s="9">
        <f t="shared" si="1"/>
        <v>27.45</v>
      </c>
      <c r="E94" s="16">
        <f t="shared" si="2"/>
        <v>0.94</v>
      </c>
      <c r="F94" s="10">
        <f t="shared" si="3"/>
        <v>1.986086317</v>
      </c>
      <c r="G94" s="11">
        <f t="shared" si="4"/>
        <v>60.34</v>
      </c>
      <c r="H94" s="10">
        <f t="shared" si="5"/>
        <v>72.711</v>
      </c>
      <c r="I94" s="10">
        <f t="shared" si="6"/>
        <v>14.97</v>
      </c>
      <c r="J94" s="12">
        <f t="shared" si="7"/>
        <v>24.809</v>
      </c>
      <c r="K94" s="13">
        <f t="shared" si="8"/>
        <v>0.893</v>
      </c>
      <c r="L94" s="10">
        <f t="shared" si="9"/>
        <v>0.161</v>
      </c>
      <c r="M94" s="10">
        <f t="shared" si="10"/>
        <v>0.03315755671</v>
      </c>
      <c r="N94" s="14">
        <f t="shared" si="11"/>
        <v>3.71</v>
      </c>
      <c r="O94" s="9">
        <f t="shared" si="12"/>
        <v>127</v>
      </c>
      <c r="P94" s="9">
        <f t="shared" si="13"/>
        <v>73.23</v>
      </c>
    </row>
    <row r="95">
      <c r="A95" s="8">
        <v>94.0</v>
      </c>
      <c r="B95" s="8">
        <v>0.005</v>
      </c>
      <c r="C95" s="8">
        <v>0.29</v>
      </c>
      <c r="D95" s="9">
        <f t="shared" si="1"/>
        <v>79.79</v>
      </c>
      <c r="E95" s="9">
        <f t="shared" si="2"/>
        <v>0.75</v>
      </c>
      <c r="F95" s="10">
        <f t="shared" si="3"/>
        <v>1.985801814</v>
      </c>
      <c r="G95" s="11">
        <f t="shared" si="4"/>
        <v>60.54</v>
      </c>
      <c r="H95" s="10">
        <f t="shared" si="5"/>
        <v>72.347</v>
      </c>
      <c r="I95" s="10">
        <f t="shared" si="6"/>
        <v>14.82</v>
      </c>
      <c r="J95" s="12">
        <f t="shared" si="7"/>
        <v>24.48</v>
      </c>
      <c r="K95" s="13">
        <f t="shared" si="8"/>
        <v>0.891</v>
      </c>
      <c r="L95" s="10">
        <f t="shared" si="9"/>
        <v>0.161</v>
      </c>
      <c r="M95" s="10">
        <f t="shared" si="10"/>
        <v>0.03297599073</v>
      </c>
      <c r="N95" s="14">
        <f t="shared" si="11"/>
        <v>3.7</v>
      </c>
      <c r="O95" s="9">
        <f t="shared" si="12"/>
        <v>127</v>
      </c>
      <c r="P95" s="9">
        <f t="shared" si="13"/>
        <v>74.02</v>
      </c>
    </row>
    <row r="96">
      <c r="A96" s="8">
        <v>95.0</v>
      </c>
      <c r="B96" s="15">
        <v>8.212E-4</v>
      </c>
      <c r="C96" s="8">
        <v>0.106</v>
      </c>
      <c r="D96" s="9">
        <f t="shared" si="1"/>
        <v>32.34</v>
      </c>
      <c r="E96" s="16">
        <f t="shared" si="2"/>
        <v>0.92</v>
      </c>
      <c r="F96" s="10">
        <f t="shared" si="3"/>
        <v>1.985523442</v>
      </c>
      <c r="G96" s="11">
        <f t="shared" si="4"/>
        <v>60.25</v>
      </c>
      <c r="H96" s="10">
        <f t="shared" si="5"/>
        <v>72.02</v>
      </c>
      <c r="I96" s="10">
        <f t="shared" si="6"/>
        <v>14.67</v>
      </c>
      <c r="J96" s="12">
        <f t="shared" si="7"/>
        <v>24.349</v>
      </c>
      <c r="K96" s="13">
        <f t="shared" si="8"/>
        <v>0.892</v>
      </c>
      <c r="L96" s="10">
        <f t="shared" si="9"/>
        <v>0.16</v>
      </c>
      <c r="M96" s="10">
        <f t="shared" si="10"/>
        <v>0.0325936651</v>
      </c>
      <c r="N96" s="14">
        <f t="shared" si="11"/>
        <v>3.65</v>
      </c>
      <c r="O96" s="9">
        <f t="shared" si="12"/>
        <v>127</v>
      </c>
      <c r="P96" s="9">
        <f t="shared" si="13"/>
        <v>74.8</v>
      </c>
    </row>
    <row r="97">
      <c r="A97" s="8">
        <v>96.0</v>
      </c>
      <c r="B97" s="15">
        <v>6.111E-4</v>
      </c>
      <c r="C97" s="8">
        <v>0.09</v>
      </c>
      <c r="D97" s="9">
        <f t="shared" si="1"/>
        <v>27.89</v>
      </c>
      <c r="E97" s="16">
        <f t="shared" si="2"/>
        <v>0.95</v>
      </c>
      <c r="F97" s="10">
        <f t="shared" si="3"/>
        <v>1.985251004</v>
      </c>
      <c r="G97" s="11">
        <f t="shared" si="4"/>
        <v>59.91</v>
      </c>
      <c r="H97" s="10">
        <f t="shared" si="5"/>
        <v>71.716</v>
      </c>
      <c r="I97" s="10">
        <f t="shared" si="6"/>
        <v>14.53</v>
      </c>
      <c r="J97" s="12">
        <f t="shared" si="7"/>
        <v>24.253</v>
      </c>
      <c r="K97" s="13">
        <f t="shared" si="8"/>
        <v>0.892</v>
      </c>
      <c r="L97" s="10">
        <f t="shared" si="9"/>
        <v>0.16</v>
      </c>
      <c r="M97" s="10">
        <f t="shared" si="10"/>
        <v>0.03241901313</v>
      </c>
      <c r="N97" s="14">
        <f t="shared" si="11"/>
        <v>3.63</v>
      </c>
      <c r="O97" s="9">
        <f t="shared" si="12"/>
        <v>127</v>
      </c>
      <c r="P97" s="9">
        <f t="shared" si="13"/>
        <v>75.59</v>
      </c>
    </row>
    <row r="98">
      <c r="A98" s="8">
        <v>97.0</v>
      </c>
      <c r="B98" s="15">
        <v>3.437E-4</v>
      </c>
      <c r="C98" s="8">
        <v>0.067</v>
      </c>
      <c r="D98" s="9">
        <f t="shared" si="1"/>
        <v>20.92</v>
      </c>
      <c r="E98" s="16">
        <f t="shared" si="2"/>
        <v>0.96</v>
      </c>
      <c r="F98" s="10">
        <f t="shared" si="3"/>
        <v>1.984984312</v>
      </c>
      <c r="G98" s="11">
        <f t="shared" si="4"/>
        <v>59.51</v>
      </c>
      <c r="H98" s="10">
        <f t="shared" si="5"/>
        <v>71.451</v>
      </c>
      <c r="I98" s="10">
        <f t="shared" si="6"/>
        <v>14.4</v>
      </c>
      <c r="J98" s="12">
        <f t="shared" si="7"/>
        <v>24.198</v>
      </c>
      <c r="K98" s="13">
        <f t="shared" si="8"/>
        <v>0.893</v>
      </c>
      <c r="L98" s="10">
        <f t="shared" si="9"/>
        <v>0.159</v>
      </c>
      <c r="M98" s="10">
        <f t="shared" si="10"/>
        <v>0.03204559472</v>
      </c>
      <c r="N98" s="14">
        <f t="shared" si="11"/>
        <v>3.59</v>
      </c>
      <c r="O98" s="9">
        <f t="shared" si="12"/>
        <v>127</v>
      </c>
      <c r="P98" s="9">
        <f t="shared" si="13"/>
        <v>76.38</v>
      </c>
    </row>
    <row r="99">
      <c r="A99" s="8">
        <v>98.0</v>
      </c>
      <c r="B99" s="8">
        <v>0.011</v>
      </c>
      <c r="C99" s="8">
        <v>0.485</v>
      </c>
      <c r="D99" s="9">
        <f t="shared" si="1"/>
        <v>118.35</v>
      </c>
      <c r="E99" s="9">
        <f t="shared" si="2"/>
        <v>0.59</v>
      </c>
      <c r="F99" s="10">
        <f t="shared" si="3"/>
        <v>1.984723186</v>
      </c>
      <c r="G99" s="11">
        <f t="shared" si="4"/>
        <v>60.11</v>
      </c>
      <c r="H99" s="10">
        <f t="shared" si="5"/>
        <v>71.33</v>
      </c>
      <c r="I99" s="10">
        <f t="shared" si="6"/>
        <v>14.3</v>
      </c>
      <c r="J99" s="12">
        <f t="shared" si="7"/>
        <v>23.79</v>
      </c>
      <c r="K99" s="13">
        <f t="shared" si="8"/>
        <v>0.89</v>
      </c>
      <c r="L99" s="10">
        <f t="shared" si="9"/>
        <v>0.161</v>
      </c>
      <c r="M99" s="10">
        <f t="shared" si="10"/>
        <v>0.03227845814</v>
      </c>
      <c r="N99" s="14">
        <f t="shared" si="11"/>
        <v>3.63</v>
      </c>
      <c r="O99" s="9">
        <f t="shared" si="12"/>
        <v>127</v>
      </c>
      <c r="P99" s="9">
        <f t="shared" si="13"/>
        <v>77.17</v>
      </c>
    </row>
    <row r="100">
      <c r="A100" s="8">
        <v>99.0</v>
      </c>
      <c r="B100" s="15">
        <v>3.183E-4</v>
      </c>
      <c r="C100" s="8">
        <v>0.064</v>
      </c>
      <c r="D100" s="9">
        <f t="shared" si="1"/>
        <v>20.13</v>
      </c>
      <c r="E100" s="16">
        <f t="shared" si="2"/>
        <v>0.98</v>
      </c>
      <c r="F100" s="10">
        <f t="shared" si="3"/>
        <v>1.984467455</v>
      </c>
      <c r="G100" s="11">
        <f t="shared" si="4"/>
        <v>59.7</v>
      </c>
      <c r="H100" s="10">
        <f t="shared" si="5"/>
        <v>71.078</v>
      </c>
      <c r="I100" s="10">
        <f t="shared" si="6"/>
        <v>14.18</v>
      </c>
      <c r="J100" s="12">
        <f t="shared" si="7"/>
        <v>23.752</v>
      </c>
      <c r="K100" s="13">
        <f t="shared" si="8"/>
        <v>0.891</v>
      </c>
      <c r="L100" s="10">
        <f t="shared" si="9"/>
        <v>0.161</v>
      </c>
      <c r="M100" s="10">
        <f t="shared" si="10"/>
        <v>0.03211088384</v>
      </c>
      <c r="N100" s="14">
        <f t="shared" si="11"/>
        <v>3.6</v>
      </c>
      <c r="O100" s="9">
        <f t="shared" si="12"/>
        <v>127</v>
      </c>
      <c r="P100" s="9">
        <f t="shared" si="13"/>
        <v>77.95</v>
      </c>
    </row>
    <row r="101">
      <c r="A101" s="8">
        <v>100.0</v>
      </c>
      <c r="B101" s="15">
        <v>1.973E-4</v>
      </c>
      <c r="C101" s="8">
        <v>0.049</v>
      </c>
      <c r="D101" s="9">
        <f t="shared" si="1"/>
        <v>15.85</v>
      </c>
      <c r="E101" s="16">
        <f t="shared" si="2"/>
        <v>1.03</v>
      </c>
      <c r="F101" s="10">
        <f t="shared" si="3"/>
        <v>1.984216952</v>
      </c>
      <c r="G101" s="11">
        <f t="shared" si="4"/>
        <v>59.27</v>
      </c>
      <c r="H101" s="10">
        <f t="shared" si="5"/>
        <v>70.854</v>
      </c>
      <c r="I101" s="10">
        <f t="shared" si="6"/>
        <v>14.06</v>
      </c>
      <c r="J101" s="12">
        <f t="shared" si="7"/>
        <v>23.722</v>
      </c>
      <c r="K101" s="13">
        <f t="shared" si="8"/>
        <v>0.892</v>
      </c>
      <c r="L101" s="10">
        <f t="shared" si="9"/>
        <v>0.16</v>
      </c>
      <c r="M101" s="10">
        <f t="shared" si="10"/>
        <v>0.03174747123</v>
      </c>
      <c r="N101" s="14">
        <f t="shared" si="11"/>
        <v>3.56</v>
      </c>
      <c r="O101" s="9">
        <f t="shared" si="12"/>
        <v>127</v>
      </c>
      <c r="P101" s="9">
        <f t="shared" si="13"/>
        <v>78.74</v>
      </c>
    </row>
    <row r="102">
      <c r="A102" s="8">
        <v>101.0</v>
      </c>
      <c r="B102" s="8">
        <v>0.002</v>
      </c>
      <c r="C102" s="8">
        <v>0.154</v>
      </c>
      <c r="D102" s="9">
        <f t="shared" si="1"/>
        <v>50.46</v>
      </c>
      <c r="E102" s="9">
        <f t="shared" si="2"/>
        <v>1.06</v>
      </c>
      <c r="F102" s="10">
        <f t="shared" si="3"/>
        <v>1.983971519</v>
      </c>
      <c r="G102" s="11">
        <f t="shared" si="4"/>
        <v>59.18</v>
      </c>
      <c r="H102" s="10">
        <f t="shared" si="5"/>
        <v>70.505</v>
      </c>
      <c r="I102" s="10">
        <f t="shared" si="6"/>
        <v>13.92</v>
      </c>
      <c r="J102" s="12">
        <f t="shared" si="7"/>
        <v>23.521</v>
      </c>
      <c r="K102" s="13">
        <f t="shared" si="8"/>
        <v>0.894</v>
      </c>
      <c r="L102" s="10">
        <f t="shared" si="9"/>
        <v>0.16</v>
      </c>
      <c r="M102" s="10">
        <f t="shared" si="10"/>
        <v>0.03158600712</v>
      </c>
      <c r="N102" s="14">
        <f t="shared" si="11"/>
        <v>3.53</v>
      </c>
      <c r="O102" s="9">
        <f t="shared" si="12"/>
        <v>127</v>
      </c>
      <c r="P102" s="9">
        <f t="shared" si="13"/>
        <v>79.53</v>
      </c>
    </row>
    <row r="103">
      <c r="A103" s="8">
        <v>102.0</v>
      </c>
      <c r="B103" s="8">
        <v>0.002</v>
      </c>
      <c r="C103" s="8">
        <v>0.151</v>
      </c>
      <c r="D103" s="9">
        <f t="shared" si="1"/>
        <v>50.46</v>
      </c>
      <c r="E103" s="9">
        <f t="shared" si="2"/>
        <v>1.1</v>
      </c>
      <c r="F103" s="10">
        <f t="shared" si="3"/>
        <v>1.983731003</v>
      </c>
      <c r="G103" s="11">
        <f t="shared" si="4"/>
        <v>59.09</v>
      </c>
      <c r="H103" s="10">
        <f t="shared" si="5"/>
        <v>70.16</v>
      </c>
      <c r="I103" s="10">
        <f t="shared" si="6"/>
        <v>13.78</v>
      </c>
      <c r="J103" s="12">
        <f t="shared" si="7"/>
        <v>23.32</v>
      </c>
      <c r="K103" s="13">
        <f t="shared" si="8"/>
        <v>0.896</v>
      </c>
      <c r="L103" s="10">
        <f t="shared" si="9"/>
        <v>0.161</v>
      </c>
      <c r="M103" s="10">
        <f t="shared" si="10"/>
        <v>0.03162340069</v>
      </c>
      <c r="N103" s="14">
        <f t="shared" si="11"/>
        <v>3.53</v>
      </c>
      <c r="O103" s="9">
        <f t="shared" si="12"/>
        <v>127</v>
      </c>
      <c r="P103" s="9">
        <f t="shared" si="13"/>
        <v>80.31</v>
      </c>
    </row>
    <row r="104">
      <c r="A104" s="8">
        <v>103.0</v>
      </c>
      <c r="B104" s="15">
        <v>3.819E-4</v>
      </c>
      <c r="C104" s="8">
        <v>0.068</v>
      </c>
      <c r="D104" s="9">
        <f t="shared" si="1"/>
        <v>22.05</v>
      </c>
      <c r="E104" s="16">
        <f t="shared" si="2"/>
        <v>1.04</v>
      </c>
      <c r="F104" s="10">
        <f t="shared" si="3"/>
        <v>1.983495259</v>
      </c>
      <c r="G104" s="11">
        <f t="shared" si="4"/>
        <v>58.73</v>
      </c>
      <c r="H104" s="10">
        <f t="shared" si="5"/>
        <v>69.911</v>
      </c>
      <c r="I104" s="10">
        <f t="shared" si="6"/>
        <v>13.66</v>
      </c>
      <c r="J104" s="12">
        <f t="shared" si="7"/>
        <v>23.259</v>
      </c>
      <c r="K104" s="13">
        <f t="shared" si="8"/>
        <v>0.897</v>
      </c>
      <c r="L104" s="10">
        <f t="shared" si="9"/>
        <v>0.161</v>
      </c>
      <c r="M104" s="10">
        <f t="shared" si="10"/>
        <v>0.03146577482</v>
      </c>
      <c r="N104" s="14">
        <f t="shared" si="11"/>
        <v>3.51</v>
      </c>
      <c r="O104" s="9">
        <f t="shared" si="12"/>
        <v>127</v>
      </c>
      <c r="P104" s="9">
        <f t="shared" si="13"/>
        <v>81.1</v>
      </c>
    </row>
    <row r="105">
      <c r="A105" s="8">
        <v>104.0</v>
      </c>
      <c r="B105" s="15">
        <v>9.039E-4</v>
      </c>
      <c r="C105" s="8">
        <v>0.111</v>
      </c>
      <c r="D105" s="9">
        <f t="shared" si="1"/>
        <v>33.92</v>
      </c>
      <c r="E105" s="16">
        <f t="shared" si="2"/>
        <v>0.92</v>
      </c>
      <c r="F105" s="10">
        <f t="shared" si="3"/>
        <v>1.983264145</v>
      </c>
      <c r="G105" s="11">
        <f t="shared" si="4"/>
        <v>58.49</v>
      </c>
      <c r="H105" s="10">
        <f t="shared" si="5"/>
        <v>69.613</v>
      </c>
      <c r="I105" s="10">
        <f t="shared" si="6"/>
        <v>13.54</v>
      </c>
      <c r="J105" s="12">
        <f t="shared" si="7"/>
        <v>23.149</v>
      </c>
      <c r="K105" s="13">
        <f t="shared" si="8"/>
        <v>0.898</v>
      </c>
      <c r="L105" s="10">
        <f t="shared" si="9"/>
        <v>0.16</v>
      </c>
      <c r="M105" s="10">
        <f t="shared" si="10"/>
        <v>0.03111600792</v>
      </c>
      <c r="N105" s="14">
        <f t="shared" si="11"/>
        <v>3.47</v>
      </c>
      <c r="O105" s="9">
        <f t="shared" si="12"/>
        <v>127</v>
      </c>
      <c r="P105" s="9">
        <f t="shared" si="13"/>
        <v>81.89</v>
      </c>
    </row>
    <row r="106">
      <c r="A106" s="8">
        <v>105.0</v>
      </c>
      <c r="B106" s="8">
        <v>0.002</v>
      </c>
      <c r="C106" s="8">
        <v>0.167</v>
      </c>
      <c r="D106" s="9">
        <f t="shared" si="1"/>
        <v>50.46</v>
      </c>
      <c r="E106" s="9">
        <f t="shared" si="2"/>
        <v>0.9</v>
      </c>
      <c r="F106" s="10">
        <f t="shared" si="3"/>
        <v>1.983037526</v>
      </c>
      <c r="G106" s="11">
        <f t="shared" si="4"/>
        <v>58.42</v>
      </c>
      <c r="H106" s="10">
        <f t="shared" si="5"/>
        <v>69.282</v>
      </c>
      <c r="I106" s="10">
        <f t="shared" si="6"/>
        <v>13.41</v>
      </c>
      <c r="J106" s="12">
        <f t="shared" si="7"/>
        <v>22.954</v>
      </c>
      <c r="K106" s="13">
        <f t="shared" si="8"/>
        <v>0.898</v>
      </c>
      <c r="L106" s="10">
        <f t="shared" si="9"/>
        <v>0.159</v>
      </c>
      <c r="M106" s="10">
        <f t="shared" si="10"/>
        <v>0.03077041882</v>
      </c>
      <c r="N106" s="14">
        <f t="shared" si="11"/>
        <v>3.43</v>
      </c>
      <c r="O106" s="9">
        <f t="shared" si="12"/>
        <v>127</v>
      </c>
      <c r="P106" s="9">
        <f t="shared" si="13"/>
        <v>82.68</v>
      </c>
    </row>
    <row r="107">
      <c r="A107" s="8">
        <v>106.0</v>
      </c>
      <c r="B107" s="8">
        <v>0.002</v>
      </c>
      <c r="C107" s="8">
        <v>0.151</v>
      </c>
      <c r="D107" s="9">
        <f t="shared" si="1"/>
        <v>50.46</v>
      </c>
      <c r="E107" s="9">
        <f t="shared" si="2"/>
        <v>1.1</v>
      </c>
      <c r="F107" s="10">
        <f t="shared" si="3"/>
        <v>1.982815274</v>
      </c>
      <c r="G107" s="11">
        <f t="shared" si="4"/>
        <v>58.34</v>
      </c>
      <c r="H107" s="10">
        <f t="shared" si="5"/>
        <v>68.956</v>
      </c>
      <c r="I107" s="10">
        <f t="shared" si="6"/>
        <v>13.28</v>
      </c>
      <c r="J107" s="12">
        <f t="shared" si="7"/>
        <v>22.763</v>
      </c>
      <c r="K107" s="13">
        <f t="shared" si="8"/>
        <v>0.9</v>
      </c>
      <c r="L107" s="10">
        <f t="shared" si="9"/>
        <v>0.16</v>
      </c>
      <c r="M107" s="10">
        <f t="shared" si="10"/>
        <v>0.03081408709</v>
      </c>
      <c r="N107" s="14">
        <f t="shared" si="11"/>
        <v>3.42</v>
      </c>
      <c r="O107" s="9">
        <f t="shared" si="12"/>
        <v>127</v>
      </c>
      <c r="P107" s="9">
        <f t="shared" si="13"/>
        <v>83.46</v>
      </c>
    </row>
    <row r="108">
      <c r="A108" s="8">
        <v>107.0</v>
      </c>
      <c r="B108" s="8">
        <v>0.001</v>
      </c>
      <c r="C108" s="8">
        <v>0.116</v>
      </c>
      <c r="D108" s="9">
        <f t="shared" si="1"/>
        <v>35.68</v>
      </c>
      <c r="E108" s="9">
        <f t="shared" si="2"/>
        <v>0.93</v>
      </c>
      <c r="F108" s="10">
        <f t="shared" si="3"/>
        <v>1.982597262</v>
      </c>
      <c r="G108" s="11">
        <f t="shared" si="4"/>
        <v>58.13</v>
      </c>
      <c r="H108" s="10">
        <f t="shared" si="5"/>
        <v>68.664</v>
      </c>
      <c r="I108" s="10">
        <f t="shared" si="6"/>
        <v>13.16</v>
      </c>
      <c r="J108" s="12">
        <f t="shared" si="7"/>
        <v>22.639</v>
      </c>
      <c r="K108" s="13">
        <f t="shared" si="8"/>
        <v>0.9</v>
      </c>
      <c r="L108" s="10">
        <f t="shared" si="9"/>
        <v>0.159</v>
      </c>
      <c r="M108" s="10">
        <f t="shared" si="10"/>
        <v>0.03047472094</v>
      </c>
      <c r="N108" s="14">
        <f t="shared" si="11"/>
        <v>3.39</v>
      </c>
      <c r="O108" s="9">
        <f t="shared" si="12"/>
        <v>127</v>
      </c>
      <c r="P108" s="9">
        <f t="shared" si="13"/>
        <v>84.25</v>
      </c>
    </row>
    <row r="109">
      <c r="A109" s="8">
        <v>108.0</v>
      </c>
      <c r="B109" s="8">
        <v>0.003</v>
      </c>
      <c r="C109" s="8">
        <v>0.259</v>
      </c>
      <c r="D109" s="9">
        <f t="shared" si="1"/>
        <v>61.8</v>
      </c>
      <c r="E109" s="9">
        <f t="shared" si="2"/>
        <v>0.56</v>
      </c>
      <c r="F109" s="10">
        <f t="shared" si="3"/>
        <v>1.98238337</v>
      </c>
      <c r="G109" s="11">
        <f t="shared" si="4"/>
        <v>58.16</v>
      </c>
      <c r="H109" s="10">
        <f t="shared" si="5"/>
        <v>68.344</v>
      </c>
      <c r="I109" s="10">
        <f t="shared" si="6"/>
        <v>13.04</v>
      </c>
      <c r="J109" s="12">
        <f t="shared" si="7"/>
        <v>22.421</v>
      </c>
      <c r="K109" s="13">
        <f t="shared" si="8"/>
        <v>0.897</v>
      </c>
      <c r="L109" s="10">
        <f t="shared" si="9"/>
        <v>0.162</v>
      </c>
      <c r="M109" s="10">
        <f t="shared" si="10"/>
        <v>0.03090229846</v>
      </c>
      <c r="N109" s="14">
        <f t="shared" si="11"/>
        <v>3.45</v>
      </c>
      <c r="O109" s="9">
        <f t="shared" si="12"/>
        <v>127</v>
      </c>
      <c r="P109" s="9">
        <f t="shared" si="13"/>
        <v>85.04</v>
      </c>
    </row>
    <row r="110">
      <c r="A110" s="8">
        <v>109.0</v>
      </c>
      <c r="B110" s="15">
        <v>3.819E-4</v>
      </c>
      <c r="C110" s="8">
        <v>0.07</v>
      </c>
      <c r="D110" s="9">
        <f t="shared" si="1"/>
        <v>22.05</v>
      </c>
      <c r="E110" s="16">
        <f t="shared" si="2"/>
        <v>0.98</v>
      </c>
      <c r="F110" s="10">
        <f t="shared" si="3"/>
        <v>1.982173483</v>
      </c>
      <c r="G110" s="11">
        <f t="shared" si="4"/>
        <v>57.83</v>
      </c>
      <c r="H110" s="10">
        <f t="shared" si="5"/>
        <v>68.115</v>
      </c>
      <c r="I110" s="10">
        <f t="shared" si="6"/>
        <v>12.93</v>
      </c>
      <c r="J110" s="12">
        <f t="shared" si="7"/>
        <v>22.359</v>
      </c>
      <c r="K110" s="13">
        <f t="shared" si="8"/>
        <v>0.897</v>
      </c>
      <c r="L110" s="10">
        <f t="shared" si="9"/>
        <v>0.161</v>
      </c>
      <c r="M110" s="10">
        <f t="shared" si="10"/>
        <v>0.03056710361</v>
      </c>
      <c r="N110" s="14">
        <f t="shared" si="11"/>
        <v>3.41</v>
      </c>
      <c r="O110" s="9">
        <f t="shared" si="12"/>
        <v>127</v>
      </c>
      <c r="P110" s="9">
        <f t="shared" si="13"/>
        <v>85.83</v>
      </c>
    </row>
    <row r="111">
      <c r="A111" s="8">
        <v>110.0</v>
      </c>
      <c r="B111" s="15">
        <v>2.228E-4</v>
      </c>
      <c r="C111" s="8">
        <v>0.053</v>
      </c>
      <c r="D111" s="9">
        <f t="shared" si="1"/>
        <v>16.84</v>
      </c>
      <c r="E111" s="16">
        <f t="shared" si="2"/>
        <v>1</v>
      </c>
      <c r="F111" s="10">
        <f t="shared" si="3"/>
        <v>1.98196749</v>
      </c>
      <c r="G111" s="11">
        <f t="shared" si="4"/>
        <v>57.46</v>
      </c>
      <c r="H111" s="10">
        <f t="shared" si="5"/>
        <v>67.914</v>
      </c>
      <c r="I111" s="10">
        <f t="shared" si="6"/>
        <v>12.83</v>
      </c>
      <c r="J111" s="12">
        <f t="shared" si="7"/>
        <v>22.329</v>
      </c>
      <c r="K111" s="13">
        <f t="shared" si="8"/>
        <v>0.898</v>
      </c>
      <c r="L111" s="10">
        <f t="shared" si="9"/>
        <v>0.161</v>
      </c>
      <c r="M111" s="10">
        <f t="shared" si="10"/>
        <v>0.03042468286</v>
      </c>
      <c r="N111" s="14">
        <f t="shared" si="11"/>
        <v>3.39</v>
      </c>
      <c r="O111" s="9">
        <f t="shared" si="12"/>
        <v>127</v>
      </c>
      <c r="P111" s="9">
        <f t="shared" si="13"/>
        <v>86.61</v>
      </c>
    </row>
    <row r="112">
      <c r="A112" s="8">
        <v>111.0</v>
      </c>
      <c r="B112" s="15">
        <v>6.238E-4</v>
      </c>
      <c r="C112" s="8">
        <v>0.089</v>
      </c>
      <c r="D112" s="9">
        <f t="shared" si="1"/>
        <v>28.18</v>
      </c>
      <c r="E112" s="16">
        <f t="shared" si="2"/>
        <v>0.99</v>
      </c>
      <c r="F112" s="10">
        <f t="shared" si="3"/>
        <v>1.981765282</v>
      </c>
      <c r="G112" s="11">
        <f t="shared" si="4"/>
        <v>57.2</v>
      </c>
      <c r="H112" s="10">
        <f t="shared" si="5"/>
        <v>67.662</v>
      </c>
      <c r="I112" s="10">
        <f t="shared" si="6"/>
        <v>12.73</v>
      </c>
      <c r="J112" s="12">
        <f t="shared" si="7"/>
        <v>22.255</v>
      </c>
      <c r="K112" s="13">
        <f t="shared" si="8"/>
        <v>0.899</v>
      </c>
      <c r="L112" s="10">
        <f t="shared" si="9"/>
        <v>0.16</v>
      </c>
      <c r="M112" s="10">
        <f t="shared" si="10"/>
        <v>0.03009613381</v>
      </c>
      <c r="N112" s="14">
        <f t="shared" si="11"/>
        <v>3.35</v>
      </c>
      <c r="O112" s="9">
        <f t="shared" si="12"/>
        <v>127</v>
      </c>
      <c r="P112" s="9">
        <f t="shared" si="13"/>
        <v>87.4</v>
      </c>
    </row>
    <row r="113">
      <c r="A113" s="8">
        <v>112.0</v>
      </c>
      <c r="B113" s="15">
        <v>7.83E-4</v>
      </c>
      <c r="C113" s="8">
        <v>0.101</v>
      </c>
      <c r="D113" s="9">
        <f t="shared" si="1"/>
        <v>31.57</v>
      </c>
      <c r="E113" s="16">
        <f t="shared" si="2"/>
        <v>0.96</v>
      </c>
      <c r="F113" s="10">
        <f t="shared" si="3"/>
        <v>1.981566757</v>
      </c>
      <c r="G113" s="11">
        <f t="shared" si="4"/>
        <v>56.97</v>
      </c>
      <c r="H113" s="10">
        <f t="shared" si="5"/>
        <v>67.4</v>
      </c>
      <c r="I113" s="10">
        <f t="shared" si="6"/>
        <v>12.62</v>
      </c>
      <c r="J113" s="12">
        <f t="shared" si="7"/>
        <v>22.152</v>
      </c>
      <c r="K113" s="13">
        <f t="shared" si="8"/>
        <v>0.9</v>
      </c>
      <c r="L113" s="10">
        <f t="shared" si="9"/>
        <v>0.159</v>
      </c>
      <c r="M113" s="10">
        <f t="shared" si="10"/>
        <v>0.02977123294</v>
      </c>
      <c r="N113" s="14">
        <f t="shared" si="11"/>
        <v>3.31</v>
      </c>
      <c r="O113" s="9">
        <f t="shared" si="12"/>
        <v>127</v>
      </c>
      <c r="P113" s="9">
        <f t="shared" si="13"/>
        <v>88.19</v>
      </c>
    </row>
    <row r="114">
      <c r="A114" s="8">
        <v>113.0</v>
      </c>
      <c r="B114" s="8">
        <v>0.001</v>
      </c>
      <c r="C114" s="8">
        <v>0.142</v>
      </c>
      <c r="D114" s="9">
        <f t="shared" si="1"/>
        <v>35.68</v>
      </c>
      <c r="E114" s="9">
        <f t="shared" si="2"/>
        <v>0.62</v>
      </c>
      <c r="F114" s="10">
        <f t="shared" si="3"/>
        <v>1.981371815</v>
      </c>
      <c r="G114" s="11">
        <f t="shared" si="4"/>
        <v>56.78</v>
      </c>
      <c r="H114" s="10">
        <f t="shared" si="5"/>
        <v>67.128</v>
      </c>
      <c r="I114" s="10">
        <f t="shared" si="6"/>
        <v>12.51</v>
      </c>
      <c r="J114" s="12">
        <f t="shared" si="7"/>
        <v>22.032</v>
      </c>
      <c r="K114" s="13">
        <f t="shared" si="8"/>
        <v>0.897</v>
      </c>
      <c r="L114" s="10">
        <f t="shared" si="9"/>
        <v>0.161</v>
      </c>
      <c r="M114" s="10">
        <f t="shared" si="10"/>
        <v>0.03000907681</v>
      </c>
      <c r="N114" s="14">
        <f t="shared" si="11"/>
        <v>3.35</v>
      </c>
      <c r="O114" s="9">
        <f t="shared" si="12"/>
        <v>127</v>
      </c>
      <c r="P114" s="9">
        <f t="shared" si="13"/>
        <v>88.98</v>
      </c>
    </row>
    <row r="115">
      <c r="A115" s="8">
        <v>114.0</v>
      </c>
      <c r="B115" s="15">
        <v>6.811E-4</v>
      </c>
      <c r="C115" s="8">
        <v>0.093</v>
      </c>
      <c r="D115" s="9">
        <f t="shared" si="1"/>
        <v>29.45</v>
      </c>
      <c r="E115" s="16">
        <f t="shared" si="2"/>
        <v>0.99</v>
      </c>
      <c r="F115" s="10">
        <f t="shared" si="3"/>
        <v>1.981180359</v>
      </c>
      <c r="G115" s="11">
        <f t="shared" si="4"/>
        <v>56.54</v>
      </c>
      <c r="H115" s="10">
        <f t="shared" si="5"/>
        <v>66.879</v>
      </c>
      <c r="I115" s="10">
        <f t="shared" si="6"/>
        <v>12.41</v>
      </c>
      <c r="J115" s="12">
        <f t="shared" si="7"/>
        <v>21.949</v>
      </c>
      <c r="K115" s="13">
        <f t="shared" si="8"/>
        <v>0.898</v>
      </c>
      <c r="L115" s="10">
        <f t="shared" si="9"/>
        <v>0.16</v>
      </c>
      <c r="M115" s="10">
        <f t="shared" si="10"/>
        <v>0.02968872664</v>
      </c>
      <c r="N115" s="14">
        <f t="shared" si="11"/>
        <v>3.31</v>
      </c>
      <c r="O115" s="9">
        <f t="shared" si="12"/>
        <v>127</v>
      </c>
      <c r="P115" s="9">
        <f t="shared" si="13"/>
        <v>89.76</v>
      </c>
    </row>
    <row r="116">
      <c r="A116" s="8">
        <v>115.0</v>
      </c>
      <c r="B116" s="8">
        <v>0.001</v>
      </c>
      <c r="C116" s="8">
        <v>0.115</v>
      </c>
      <c r="D116" s="9">
        <f t="shared" si="1"/>
        <v>35.68</v>
      </c>
      <c r="E116" s="9">
        <f t="shared" si="2"/>
        <v>0.95</v>
      </c>
      <c r="F116" s="10">
        <f t="shared" si="3"/>
        <v>1.980992298</v>
      </c>
      <c r="G116" s="11">
        <f t="shared" si="4"/>
        <v>56.36</v>
      </c>
      <c r="H116" s="10">
        <f t="shared" si="5"/>
        <v>66.614</v>
      </c>
      <c r="I116" s="10">
        <f t="shared" si="6"/>
        <v>12.31</v>
      </c>
      <c r="J116" s="12">
        <f t="shared" si="7"/>
        <v>21.842</v>
      </c>
      <c r="K116" s="13">
        <f t="shared" si="8"/>
        <v>0.899</v>
      </c>
      <c r="L116" s="10">
        <f t="shared" si="9"/>
        <v>0.16</v>
      </c>
      <c r="M116" s="10">
        <f t="shared" si="10"/>
        <v>0.02955655749</v>
      </c>
      <c r="N116" s="14">
        <f t="shared" si="11"/>
        <v>3.29</v>
      </c>
      <c r="O116" s="9">
        <f t="shared" si="12"/>
        <v>127</v>
      </c>
      <c r="P116" s="9">
        <f t="shared" si="13"/>
        <v>90.55</v>
      </c>
    </row>
    <row r="117">
      <c r="A117" s="8">
        <v>116.0</v>
      </c>
      <c r="B117" s="8">
        <v>0.003</v>
      </c>
      <c r="C117" s="8">
        <v>0.184</v>
      </c>
      <c r="D117" s="9">
        <f t="shared" si="1"/>
        <v>61.8</v>
      </c>
      <c r="E117" s="9">
        <f t="shared" si="2"/>
        <v>1.11</v>
      </c>
      <c r="F117" s="10">
        <f t="shared" si="3"/>
        <v>1.980807541</v>
      </c>
      <c r="G117" s="11">
        <f t="shared" si="4"/>
        <v>56.41</v>
      </c>
      <c r="H117" s="10">
        <f t="shared" si="5"/>
        <v>66.325</v>
      </c>
      <c r="I117" s="10">
        <f t="shared" si="6"/>
        <v>12.2</v>
      </c>
      <c r="J117" s="12">
        <f t="shared" si="7"/>
        <v>21.627</v>
      </c>
      <c r="K117" s="13">
        <f t="shared" si="8"/>
        <v>0.9</v>
      </c>
      <c r="L117" s="10">
        <f t="shared" si="9"/>
        <v>0.16</v>
      </c>
      <c r="M117" s="10">
        <f t="shared" si="10"/>
        <v>0.0294261381</v>
      </c>
      <c r="N117" s="14">
        <f t="shared" si="11"/>
        <v>3.27</v>
      </c>
      <c r="O117" s="9">
        <f t="shared" si="12"/>
        <v>127</v>
      </c>
      <c r="P117" s="9">
        <f t="shared" si="13"/>
        <v>91.34</v>
      </c>
    </row>
    <row r="118">
      <c r="A118" s="8">
        <v>117.0</v>
      </c>
      <c r="B118" s="8">
        <v>0.001</v>
      </c>
      <c r="C118" s="8">
        <v>0.127</v>
      </c>
      <c r="D118" s="9">
        <f t="shared" si="1"/>
        <v>35.68</v>
      </c>
      <c r="E118" s="9">
        <f t="shared" si="2"/>
        <v>0.78</v>
      </c>
      <c r="F118" s="10">
        <f t="shared" si="3"/>
        <v>1.980626002</v>
      </c>
      <c r="G118" s="11">
        <f t="shared" si="4"/>
        <v>56.23</v>
      </c>
      <c r="H118" s="10">
        <f t="shared" si="5"/>
        <v>66.067</v>
      </c>
      <c r="I118" s="10">
        <f t="shared" si="6"/>
        <v>12.1</v>
      </c>
      <c r="J118" s="12">
        <f t="shared" si="7"/>
        <v>21.519</v>
      </c>
      <c r="K118" s="13">
        <f t="shared" si="8"/>
        <v>0.899</v>
      </c>
      <c r="L118" s="10">
        <f t="shared" si="9"/>
        <v>0.16</v>
      </c>
      <c r="M118" s="10">
        <f t="shared" si="10"/>
        <v>0.02929743019</v>
      </c>
      <c r="N118" s="14">
        <f t="shared" si="11"/>
        <v>3.26</v>
      </c>
      <c r="O118" s="9">
        <f t="shared" si="12"/>
        <v>127</v>
      </c>
      <c r="P118" s="9">
        <f t="shared" si="13"/>
        <v>92.13</v>
      </c>
    </row>
    <row r="119">
      <c r="A119" s="8">
        <v>118.0</v>
      </c>
      <c r="B119" s="8">
        <v>0.002</v>
      </c>
      <c r="C119" s="8">
        <v>0.149</v>
      </c>
      <c r="D119" s="9">
        <f t="shared" si="1"/>
        <v>50.46</v>
      </c>
      <c r="E119" s="9">
        <f t="shared" si="2"/>
        <v>1.13</v>
      </c>
      <c r="F119" s="10">
        <f t="shared" si="3"/>
        <v>1.980447599</v>
      </c>
      <c r="G119" s="11">
        <f t="shared" si="4"/>
        <v>56.18</v>
      </c>
      <c r="H119" s="10">
        <f t="shared" si="5"/>
        <v>65.786</v>
      </c>
      <c r="I119" s="10">
        <f t="shared" si="6"/>
        <v>11.99</v>
      </c>
      <c r="J119" s="12">
        <f t="shared" si="7"/>
        <v>21.342</v>
      </c>
      <c r="K119" s="13">
        <f t="shared" si="8"/>
        <v>0.901</v>
      </c>
      <c r="L119" s="10">
        <f t="shared" si="9"/>
        <v>0.161</v>
      </c>
      <c r="M119" s="10">
        <f t="shared" si="10"/>
        <v>0.02935271164</v>
      </c>
      <c r="N119" s="14">
        <f t="shared" si="11"/>
        <v>3.26</v>
      </c>
      <c r="O119" s="9">
        <f t="shared" si="12"/>
        <v>127</v>
      </c>
      <c r="P119" s="9">
        <f t="shared" si="13"/>
        <v>92.91</v>
      </c>
    </row>
    <row r="120">
      <c r="A120" s="8">
        <v>119.0</v>
      </c>
      <c r="B120" s="15">
        <v>9.739E-4</v>
      </c>
      <c r="C120" s="8">
        <v>0.113</v>
      </c>
      <c r="D120" s="9">
        <f t="shared" si="1"/>
        <v>35.21</v>
      </c>
      <c r="E120" s="16">
        <f t="shared" si="2"/>
        <v>0.96</v>
      </c>
      <c r="F120" s="10">
        <f t="shared" si="3"/>
        <v>1.980272249</v>
      </c>
      <c r="G120" s="11">
        <f t="shared" si="4"/>
        <v>56</v>
      </c>
      <c r="H120" s="10">
        <f t="shared" si="5"/>
        <v>65.535</v>
      </c>
      <c r="I120" s="10">
        <f t="shared" si="6"/>
        <v>11.9</v>
      </c>
      <c r="J120" s="12">
        <f t="shared" si="7"/>
        <v>21.25</v>
      </c>
      <c r="K120" s="13">
        <f t="shared" si="8"/>
        <v>0.902</v>
      </c>
      <c r="L120" s="10">
        <f t="shared" si="9"/>
        <v>0.16</v>
      </c>
      <c r="M120" s="10">
        <f t="shared" si="10"/>
        <v>0.02904500151</v>
      </c>
      <c r="N120" s="14">
        <f t="shared" si="11"/>
        <v>3.22</v>
      </c>
      <c r="O120" s="9">
        <f t="shared" si="12"/>
        <v>127</v>
      </c>
      <c r="P120" s="9">
        <f t="shared" si="13"/>
        <v>93.7</v>
      </c>
    </row>
    <row r="121">
      <c r="A121" s="8">
        <v>120.0</v>
      </c>
      <c r="B121" s="15">
        <v>5.347E-4</v>
      </c>
      <c r="C121" s="8">
        <v>0.083</v>
      </c>
      <c r="D121" s="9">
        <f t="shared" si="1"/>
        <v>26.09</v>
      </c>
      <c r="E121" s="16">
        <f t="shared" si="2"/>
        <v>0.98</v>
      </c>
      <c r="F121" s="10">
        <f t="shared" si="3"/>
        <v>1.980099876</v>
      </c>
      <c r="G121" s="11">
        <f t="shared" si="4"/>
        <v>55.75</v>
      </c>
      <c r="H121" s="10">
        <f t="shared" si="5"/>
        <v>65.316</v>
      </c>
      <c r="I121" s="10">
        <f t="shared" si="6"/>
        <v>11.81</v>
      </c>
      <c r="J121" s="12">
        <f t="shared" si="7"/>
        <v>21.184</v>
      </c>
      <c r="K121" s="13">
        <f t="shared" si="8"/>
        <v>0.902</v>
      </c>
      <c r="L121" s="10">
        <f t="shared" si="9"/>
        <v>0.16</v>
      </c>
      <c r="M121" s="10">
        <f t="shared" si="10"/>
        <v>0.02892120983</v>
      </c>
      <c r="N121" s="14">
        <f t="shared" si="11"/>
        <v>3.21</v>
      </c>
      <c r="O121" s="9">
        <f t="shared" si="12"/>
        <v>127</v>
      </c>
      <c r="P121" s="9">
        <f t="shared" si="13"/>
        <v>94.49</v>
      </c>
    </row>
    <row r="122">
      <c r="A122" s="8">
        <v>121.0</v>
      </c>
      <c r="B122" s="8">
        <v>0.001</v>
      </c>
      <c r="C122" s="8">
        <v>0.125</v>
      </c>
      <c r="D122" s="9">
        <f t="shared" si="1"/>
        <v>35.68</v>
      </c>
      <c r="E122" s="9">
        <f t="shared" si="2"/>
        <v>0.8</v>
      </c>
      <c r="F122" s="10">
        <f t="shared" si="3"/>
        <v>1.979930405</v>
      </c>
      <c r="G122" s="11">
        <f t="shared" si="4"/>
        <v>55.59</v>
      </c>
      <c r="H122" s="10">
        <f t="shared" si="5"/>
        <v>65.069</v>
      </c>
      <c r="I122" s="10">
        <f t="shared" si="6"/>
        <v>11.71</v>
      </c>
      <c r="J122" s="12">
        <f t="shared" si="7"/>
        <v>21.065</v>
      </c>
      <c r="K122" s="13">
        <f t="shared" si="8"/>
        <v>0.902</v>
      </c>
      <c r="L122" s="10">
        <f t="shared" si="9"/>
        <v>0.159</v>
      </c>
      <c r="M122" s="10">
        <f t="shared" si="10"/>
        <v>0.02861899404</v>
      </c>
      <c r="N122" s="14">
        <f t="shared" si="11"/>
        <v>3.17</v>
      </c>
      <c r="O122" s="9">
        <f t="shared" si="12"/>
        <v>127</v>
      </c>
      <c r="P122" s="9">
        <f t="shared" si="13"/>
        <v>95.28</v>
      </c>
    </row>
    <row r="123">
      <c r="A123" s="8">
        <v>122.0</v>
      </c>
      <c r="B123" s="15">
        <v>1.655E-4</v>
      </c>
      <c r="C123" s="8">
        <v>0.044</v>
      </c>
      <c r="D123" s="9">
        <f t="shared" si="1"/>
        <v>14.52</v>
      </c>
      <c r="E123" s="16">
        <f t="shared" si="2"/>
        <v>1.07</v>
      </c>
      <c r="F123" s="10">
        <f t="shared" si="3"/>
        <v>1.979763763</v>
      </c>
      <c r="G123" s="11">
        <f t="shared" si="4"/>
        <v>55.25</v>
      </c>
      <c r="H123" s="10">
        <f t="shared" si="5"/>
        <v>64.906</v>
      </c>
      <c r="I123" s="10">
        <f t="shared" si="6"/>
        <v>11.63</v>
      </c>
      <c r="J123" s="12">
        <f t="shared" si="7"/>
        <v>21.05</v>
      </c>
      <c r="K123" s="13">
        <f t="shared" si="8"/>
        <v>0.903</v>
      </c>
      <c r="L123" s="10">
        <f t="shared" si="9"/>
        <v>0.159</v>
      </c>
      <c r="M123" s="10">
        <f t="shared" si="10"/>
        <v>0.02849906289</v>
      </c>
      <c r="N123" s="14">
        <f t="shared" si="11"/>
        <v>3.16</v>
      </c>
      <c r="O123" s="9">
        <f t="shared" si="12"/>
        <v>127</v>
      </c>
      <c r="P123" s="9">
        <f t="shared" si="13"/>
        <v>96.06</v>
      </c>
    </row>
    <row r="124">
      <c r="A124" s="8">
        <v>123.0</v>
      </c>
      <c r="B124" s="8">
        <v>0.001</v>
      </c>
      <c r="C124" s="8">
        <v>0.154</v>
      </c>
      <c r="D124" s="9">
        <f t="shared" si="1"/>
        <v>35.68</v>
      </c>
      <c r="E124" s="9">
        <f t="shared" si="2"/>
        <v>0.53</v>
      </c>
      <c r="F124" s="10">
        <f t="shared" si="3"/>
        <v>1.979599878</v>
      </c>
      <c r="G124" s="11">
        <f t="shared" si="4"/>
        <v>55.09</v>
      </c>
      <c r="H124" s="10">
        <f t="shared" si="5"/>
        <v>64.663</v>
      </c>
      <c r="I124" s="10">
        <f t="shared" si="6"/>
        <v>11.54</v>
      </c>
      <c r="J124" s="12">
        <f t="shared" si="7"/>
        <v>20.948</v>
      </c>
      <c r="K124" s="13">
        <f t="shared" si="8"/>
        <v>0.9</v>
      </c>
      <c r="L124" s="10">
        <f t="shared" si="9"/>
        <v>0.162</v>
      </c>
      <c r="M124" s="10">
        <f t="shared" si="10"/>
        <v>0.02891611061</v>
      </c>
      <c r="N124" s="14">
        <f t="shared" si="11"/>
        <v>3.21</v>
      </c>
      <c r="O124" s="9">
        <f t="shared" si="12"/>
        <v>127</v>
      </c>
      <c r="P124" s="9">
        <f t="shared" si="13"/>
        <v>96.85</v>
      </c>
    </row>
    <row r="125">
      <c r="A125" s="8">
        <v>124.0</v>
      </c>
      <c r="B125" s="8">
        <v>0.005</v>
      </c>
      <c r="C125" s="8">
        <v>0.273</v>
      </c>
      <c r="D125" s="9">
        <f t="shared" si="1"/>
        <v>79.79</v>
      </c>
      <c r="E125" s="9">
        <f t="shared" si="2"/>
        <v>0.84</v>
      </c>
      <c r="F125" s="10">
        <f t="shared" si="3"/>
        <v>1.979438685</v>
      </c>
      <c r="G125" s="11">
        <f t="shared" si="4"/>
        <v>55.29</v>
      </c>
      <c r="H125" s="10">
        <f t="shared" si="5"/>
        <v>64.438</v>
      </c>
      <c r="I125" s="10">
        <f t="shared" si="6"/>
        <v>11.45</v>
      </c>
      <c r="J125" s="12">
        <f t="shared" si="7"/>
        <v>20.709</v>
      </c>
      <c r="K125" s="13">
        <f t="shared" si="8"/>
        <v>0.899</v>
      </c>
      <c r="L125" s="10">
        <f t="shared" si="9"/>
        <v>0.162</v>
      </c>
      <c r="M125" s="10">
        <f t="shared" si="10"/>
        <v>0.02879693231</v>
      </c>
      <c r="N125" s="14">
        <f t="shared" si="11"/>
        <v>3.2</v>
      </c>
      <c r="O125" s="9">
        <f t="shared" si="12"/>
        <v>127</v>
      </c>
      <c r="P125" s="9">
        <f t="shared" si="13"/>
        <v>97.64</v>
      </c>
    </row>
    <row r="126">
      <c r="A126" s="8">
        <v>125.0</v>
      </c>
      <c r="B126" s="15">
        <v>4.456E-4</v>
      </c>
      <c r="C126" s="8">
        <v>0.077</v>
      </c>
      <c r="D126" s="9">
        <f t="shared" si="1"/>
        <v>23.82</v>
      </c>
      <c r="E126" s="16">
        <f t="shared" si="2"/>
        <v>0.94</v>
      </c>
      <c r="F126" s="10">
        <f t="shared" si="3"/>
        <v>1.979280117</v>
      </c>
      <c r="G126" s="11">
        <f t="shared" si="4"/>
        <v>55.04</v>
      </c>
      <c r="H126" s="10">
        <f t="shared" si="5"/>
        <v>64.24</v>
      </c>
      <c r="I126" s="10">
        <f t="shared" si="6"/>
        <v>11.37</v>
      </c>
      <c r="J126" s="12">
        <f t="shared" si="7"/>
        <v>20.658</v>
      </c>
      <c r="K126" s="13">
        <f t="shared" si="8"/>
        <v>0.9</v>
      </c>
      <c r="L126" s="10">
        <f t="shared" si="9"/>
        <v>0.161</v>
      </c>
      <c r="M126" s="10">
        <f t="shared" si="10"/>
        <v>0.02850218347</v>
      </c>
      <c r="N126" s="14">
        <f t="shared" si="11"/>
        <v>3.17</v>
      </c>
      <c r="O126" s="9">
        <f t="shared" si="12"/>
        <v>127</v>
      </c>
      <c r="P126" s="9">
        <f t="shared" si="13"/>
        <v>98.43</v>
      </c>
    </row>
    <row r="127">
      <c r="A127" s="8">
        <v>126.0</v>
      </c>
      <c r="B127" s="15">
        <v>6.875E-4</v>
      </c>
      <c r="C127" s="8">
        <v>0.095</v>
      </c>
      <c r="D127" s="9">
        <f t="shared" si="1"/>
        <v>29.59</v>
      </c>
      <c r="E127" s="16">
        <f t="shared" si="2"/>
        <v>0.96</v>
      </c>
      <c r="F127" s="10">
        <f t="shared" si="3"/>
        <v>1.979124109</v>
      </c>
      <c r="G127" s="11">
        <f t="shared" si="4"/>
        <v>54.84</v>
      </c>
      <c r="H127" s="10">
        <f t="shared" si="5"/>
        <v>64.022</v>
      </c>
      <c r="I127" s="10">
        <f t="shared" si="6"/>
        <v>11.29</v>
      </c>
      <c r="J127" s="12">
        <f t="shared" si="7"/>
        <v>20.587</v>
      </c>
      <c r="K127" s="13">
        <f t="shared" si="8"/>
        <v>0.9</v>
      </c>
      <c r="L127" s="10">
        <f t="shared" si="9"/>
        <v>0.16</v>
      </c>
      <c r="M127" s="10">
        <f t="shared" si="10"/>
        <v>0.02821030226</v>
      </c>
      <c r="N127" s="14">
        <f t="shared" si="11"/>
        <v>3.13</v>
      </c>
      <c r="O127" s="9">
        <f t="shared" si="12"/>
        <v>127</v>
      </c>
      <c r="P127" s="9">
        <f t="shared" si="13"/>
        <v>99.21</v>
      </c>
    </row>
    <row r="128">
      <c r="A128" s="8">
        <v>127.0</v>
      </c>
      <c r="B128" s="15">
        <v>2.292E-4</v>
      </c>
      <c r="C128" s="8">
        <v>0.055</v>
      </c>
      <c r="D128" s="9">
        <f t="shared" si="1"/>
        <v>17.08</v>
      </c>
      <c r="E128" s="16">
        <f t="shared" si="2"/>
        <v>0.95</v>
      </c>
      <c r="F128" s="10">
        <f t="shared" si="3"/>
        <v>1.978970602</v>
      </c>
      <c r="G128" s="11">
        <f t="shared" si="4"/>
        <v>54.54</v>
      </c>
      <c r="H128" s="10">
        <f t="shared" si="5"/>
        <v>63.856</v>
      </c>
      <c r="I128" s="10">
        <f t="shared" si="6"/>
        <v>11.21</v>
      </c>
      <c r="J128" s="12">
        <f t="shared" si="7"/>
        <v>20.554</v>
      </c>
      <c r="K128" s="13">
        <f t="shared" si="8"/>
        <v>0.901</v>
      </c>
      <c r="L128" s="10">
        <f t="shared" si="9"/>
        <v>0.16</v>
      </c>
      <c r="M128" s="10">
        <f t="shared" si="10"/>
        <v>0.02809683913</v>
      </c>
      <c r="N128" s="14">
        <f t="shared" si="11"/>
        <v>3.12</v>
      </c>
      <c r="O128" s="9">
        <f t="shared" si="12"/>
        <v>127</v>
      </c>
      <c r="P128" s="9">
        <f t="shared" si="13"/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8.275E-4</v>
      </c>
      <c r="C2" s="8">
        <v>0.102</v>
      </c>
      <c r="D2" s="9">
        <f t="shared" ref="D2:D83" si="1">ROUND(2*SQRT(B2/PI())*1000,2)</f>
        <v>32.46</v>
      </c>
      <c r="E2" s="16">
        <f t="shared" ref="E2:E83" si="2">ROUND(4*PI()*B2/C2/C2,2)</f>
        <v>1</v>
      </c>
      <c r="F2" s="10" t="str">
        <f t="shared" ref="F2:F83" si="3">_xlfn.T.INV(1-0.5*0.05,A2-1)</f>
        <v>#NUM!</v>
      </c>
      <c r="G2" s="11">
        <f t="shared" ref="G2:G83" si="4">ROUND(AVERAGE(D$2:D2),2)</f>
        <v>32.46</v>
      </c>
      <c r="H2" s="10" t="str">
        <f t="shared" ref="H2:H83" si="5">ROUND(_xlfn.STDEV.S(D$2:D2),3)</f>
        <v>#DIV/0!</v>
      </c>
      <c r="I2" s="10" t="str">
        <f t="shared" ref="I2:I83" si="6">ROUND(H2*F2/SQRT(A2),2)</f>
        <v>#DIV/0!</v>
      </c>
      <c r="J2" s="12" t="str">
        <f t="shared" ref="J2:J83" si="7">ROUND(100*I2/G2,3)</f>
        <v>#DIV/0!</v>
      </c>
      <c r="K2" s="17">
        <f t="shared" ref="K2:K83" si="8">ROUND(AVERAGE(E$2:E2),3)</f>
        <v>1</v>
      </c>
      <c r="L2" s="10" t="str">
        <f t="shared" ref="L2:L83" si="9">ROUND(_xlfn.STDEV.S(E$2:E2),3)</f>
        <v>#DIV/0!</v>
      </c>
      <c r="M2" s="10" t="str">
        <f t="shared" ref="M2:M83" si="10">L2*F2/SQRT(A2)</f>
        <v>#DIV/0!</v>
      </c>
      <c r="N2" s="14" t="str">
        <f t="shared" ref="N2:N83" si="11">ROUND(M2*100/K2,2)</f>
        <v>#DIV/0!</v>
      </c>
      <c r="O2" s="9">
        <f t="shared" ref="O2:O83" si="12">COUNT(A:A)</f>
        <v>82</v>
      </c>
      <c r="P2" s="9">
        <f t="shared" ref="P2:P83" si="13">ROUND(A2*100/O2,2)</f>
        <v>1.22</v>
      </c>
    </row>
    <row r="3">
      <c r="A3" s="8">
        <v>2.0</v>
      </c>
      <c r="B3" s="15">
        <v>0.002</v>
      </c>
      <c r="C3" s="8">
        <v>0.184</v>
      </c>
      <c r="D3" s="9">
        <f t="shared" si="1"/>
        <v>50.46</v>
      </c>
      <c r="E3" s="16">
        <f t="shared" si="2"/>
        <v>0.74</v>
      </c>
      <c r="F3" s="10">
        <f t="shared" si="3"/>
        <v>12.70620474</v>
      </c>
      <c r="G3" s="11">
        <f t="shared" si="4"/>
        <v>41.46</v>
      </c>
      <c r="H3" s="10">
        <f t="shared" si="5"/>
        <v>12.728</v>
      </c>
      <c r="I3" s="10">
        <f t="shared" si="6"/>
        <v>114.36</v>
      </c>
      <c r="J3" s="12">
        <f t="shared" si="7"/>
        <v>275.832</v>
      </c>
      <c r="K3" s="17">
        <f t="shared" si="8"/>
        <v>0.87</v>
      </c>
      <c r="L3" s="10">
        <f t="shared" si="9"/>
        <v>0.184</v>
      </c>
      <c r="M3" s="10">
        <f t="shared" si="10"/>
        <v>1.65317441</v>
      </c>
      <c r="N3" s="18">
        <f t="shared" si="11"/>
        <v>190.02</v>
      </c>
      <c r="O3" s="9">
        <f t="shared" si="12"/>
        <v>82</v>
      </c>
      <c r="P3" s="9">
        <f t="shared" si="13"/>
        <v>2.44</v>
      </c>
    </row>
    <row r="4">
      <c r="A4" s="8">
        <v>3.0</v>
      </c>
      <c r="B4" s="15">
        <v>6.684E-4</v>
      </c>
      <c r="C4" s="8">
        <v>0.092</v>
      </c>
      <c r="D4" s="9">
        <f t="shared" si="1"/>
        <v>29.17</v>
      </c>
      <c r="E4" s="16">
        <f t="shared" si="2"/>
        <v>0.99</v>
      </c>
      <c r="F4" s="10">
        <f t="shared" si="3"/>
        <v>4.30265273</v>
      </c>
      <c r="G4" s="11">
        <f t="shared" si="4"/>
        <v>37.36</v>
      </c>
      <c r="H4" s="10">
        <f t="shared" si="5"/>
        <v>11.461</v>
      </c>
      <c r="I4" s="10">
        <f t="shared" si="6"/>
        <v>28.47</v>
      </c>
      <c r="J4" s="12">
        <f t="shared" si="7"/>
        <v>76.204</v>
      </c>
      <c r="K4" s="17">
        <f t="shared" si="8"/>
        <v>0.91</v>
      </c>
      <c r="L4" s="10">
        <f t="shared" si="9"/>
        <v>0.147</v>
      </c>
      <c r="M4" s="10">
        <f t="shared" si="10"/>
        <v>0.3651682436</v>
      </c>
      <c r="N4" s="18">
        <f t="shared" si="11"/>
        <v>40.13</v>
      </c>
      <c r="O4" s="9">
        <f t="shared" si="12"/>
        <v>82</v>
      </c>
      <c r="P4" s="9">
        <f t="shared" si="13"/>
        <v>3.66</v>
      </c>
    </row>
    <row r="5">
      <c r="A5" s="8">
        <v>4.0</v>
      </c>
      <c r="B5" s="8">
        <v>0.002</v>
      </c>
      <c r="C5" s="8">
        <v>0.161</v>
      </c>
      <c r="D5" s="9">
        <f t="shared" si="1"/>
        <v>50.46</v>
      </c>
      <c r="E5" s="9">
        <f t="shared" si="2"/>
        <v>0.97</v>
      </c>
      <c r="F5" s="10">
        <f t="shared" si="3"/>
        <v>3.182446305</v>
      </c>
      <c r="G5" s="11">
        <f t="shared" si="4"/>
        <v>40.64</v>
      </c>
      <c r="H5" s="10">
        <f t="shared" si="5"/>
        <v>11.421</v>
      </c>
      <c r="I5" s="10">
        <f t="shared" si="6"/>
        <v>18.17</v>
      </c>
      <c r="J5" s="12">
        <f t="shared" si="7"/>
        <v>44.71</v>
      </c>
      <c r="K5" s="17">
        <f t="shared" si="8"/>
        <v>0.925</v>
      </c>
      <c r="L5" s="10">
        <f t="shared" si="9"/>
        <v>0.124</v>
      </c>
      <c r="M5" s="10">
        <f t="shared" si="10"/>
        <v>0.1973116709</v>
      </c>
      <c r="N5" s="18">
        <f t="shared" si="11"/>
        <v>21.33</v>
      </c>
      <c r="O5" s="9">
        <f t="shared" si="12"/>
        <v>82</v>
      </c>
      <c r="P5" s="9">
        <f t="shared" si="13"/>
        <v>4.88</v>
      </c>
    </row>
    <row r="6">
      <c r="A6" s="8">
        <v>5.0</v>
      </c>
      <c r="B6" s="8">
        <v>0.002</v>
      </c>
      <c r="C6" s="8">
        <v>0.157</v>
      </c>
      <c r="D6" s="9">
        <f t="shared" si="1"/>
        <v>50.46</v>
      </c>
      <c r="E6" s="9">
        <f t="shared" si="2"/>
        <v>1.02</v>
      </c>
      <c r="F6" s="10">
        <f t="shared" si="3"/>
        <v>2.776445105</v>
      </c>
      <c r="G6" s="11">
        <f t="shared" si="4"/>
        <v>42.6</v>
      </c>
      <c r="H6" s="10">
        <f t="shared" si="5"/>
        <v>10.823</v>
      </c>
      <c r="I6" s="10">
        <f t="shared" si="6"/>
        <v>13.44</v>
      </c>
      <c r="J6" s="12">
        <f t="shared" si="7"/>
        <v>31.549</v>
      </c>
      <c r="K6" s="17">
        <f t="shared" si="8"/>
        <v>0.944</v>
      </c>
      <c r="L6" s="10">
        <f t="shared" si="9"/>
        <v>0.115</v>
      </c>
      <c r="M6" s="10">
        <f t="shared" si="10"/>
        <v>0.1427913598</v>
      </c>
      <c r="N6" s="18">
        <f t="shared" si="11"/>
        <v>15.13</v>
      </c>
      <c r="O6" s="9">
        <f t="shared" si="12"/>
        <v>82</v>
      </c>
      <c r="P6" s="9">
        <f t="shared" si="13"/>
        <v>6.1</v>
      </c>
    </row>
    <row r="7">
      <c r="A7" s="8">
        <v>6.0</v>
      </c>
      <c r="B7" s="15">
        <v>7.257E-4</v>
      </c>
      <c r="C7" s="8">
        <v>0.097</v>
      </c>
      <c r="D7" s="9">
        <f t="shared" si="1"/>
        <v>30.4</v>
      </c>
      <c r="E7" s="16">
        <f t="shared" si="2"/>
        <v>0.97</v>
      </c>
      <c r="F7" s="10">
        <f t="shared" si="3"/>
        <v>2.570581836</v>
      </c>
      <c r="G7" s="11">
        <f t="shared" si="4"/>
        <v>40.57</v>
      </c>
      <c r="H7" s="10">
        <f t="shared" si="5"/>
        <v>10.887</v>
      </c>
      <c r="I7" s="10">
        <f t="shared" si="6"/>
        <v>11.43</v>
      </c>
      <c r="J7" s="12">
        <f t="shared" si="7"/>
        <v>28.174</v>
      </c>
      <c r="K7" s="17">
        <f t="shared" si="8"/>
        <v>0.948</v>
      </c>
      <c r="L7" s="10">
        <f t="shared" si="9"/>
        <v>0.104</v>
      </c>
      <c r="M7" s="10">
        <f t="shared" si="10"/>
        <v>0.1091413065</v>
      </c>
      <c r="N7" s="18">
        <f t="shared" si="11"/>
        <v>11.51</v>
      </c>
      <c r="O7" s="9">
        <f t="shared" si="12"/>
        <v>82</v>
      </c>
      <c r="P7" s="9">
        <f t="shared" si="13"/>
        <v>7.32</v>
      </c>
    </row>
    <row r="8">
      <c r="A8" s="8">
        <v>7.0</v>
      </c>
      <c r="B8" s="15">
        <v>3.819E-4</v>
      </c>
      <c r="C8" s="8">
        <v>0.072</v>
      </c>
      <c r="D8" s="9">
        <f t="shared" si="1"/>
        <v>22.05</v>
      </c>
      <c r="E8" s="16">
        <f t="shared" si="2"/>
        <v>0.93</v>
      </c>
      <c r="F8" s="10">
        <f t="shared" si="3"/>
        <v>2.446911851</v>
      </c>
      <c r="G8" s="11">
        <f t="shared" si="4"/>
        <v>37.92</v>
      </c>
      <c r="H8" s="10">
        <f t="shared" si="5"/>
        <v>12.155</v>
      </c>
      <c r="I8" s="10">
        <f t="shared" si="6"/>
        <v>11.24</v>
      </c>
      <c r="J8" s="12">
        <f t="shared" si="7"/>
        <v>29.641</v>
      </c>
      <c r="K8" s="17">
        <f t="shared" si="8"/>
        <v>0.946</v>
      </c>
      <c r="L8" s="10">
        <f t="shared" si="9"/>
        <v>0.095</v>
      </c>
      <c r="M8" s="10">
        <f t="shared" si="10"/>
        <v>0.08786034609</v>
      </c>
      <c r="N8" s="18">
        <f t="shared" si="11"/>
        <v>9.29</v>
      </c>
      <c r="O8" s="9">
        <f t="shared" si="12"/>
        <v>82</v>
      </c>
      <c r="P8" s="9">
        <f t="shared" si="13"/>
        <v>8.54</v>
      </c>
    </row>
    <row r="9">
      <c r="A9" s="8">
        <v>8.0</v>
      </c>
      <c r="B9" s="15">
        <v>1.591E-4</v>
      </c>
      <c r="C9" s="8">
        <v>0.045</v>
      </c>
      <c r="D9" s="9">
        <f t="shared" si="1"/>
        <v>14.23</v>
      </c>
      <c r="E9" s="16">
        <f t="shared" si="2"/>
        <v>0.99</v>
      </c>
      <c r="F9" s="10">
        <f t="shared" si="3"/>
        <v>2.364624252</v>
      </c>
      <c r="G9" s="11">
        <f t="shared" si="4"/>
        <v>34.96</v>
      </c>
      <c r="H9" s="10">
        <f t="shared" si="5"/>
        <v>14.029</v>
      </c>
      <c r="I9" s="10">
        <f t="shared" si="6"/>
        <v>11.73</v>
      </c>
      <c r="J9" s="12">
        <f t="shared" si="7"/>
        <v>33.553</v>
      </c>
      <c r="K9" s="17">
        <f t="shared" si="8"/>
        <v>0.951</v>
      </c>
      <c r="L9" s="10">
        <f t="shared" si="9"/>
        <v>0.089</v>
      </c>
      <c r="M9" s="10">
        <f t="shared" si="10"/>
        <v>0.07440586203</v>
      </c>
      <c r="N9" s="18">
        <f t="shared" si="11"/>
        <v>7.82</v>
      </c>
      <c r="O9" s="9">
        <f t="shared" si="12"/>
        <v>82</v>
      </c>
      <c r="P9" s="9">
        <f t="shared" si="13"/>
        <v>9.76</v>
      </c>
    </row>
    <row r="10">
      <c r="A10" s="8">
        <v>9.0</v>
      </c>
      <c r="B10" s="15">
        <v>0.001</v>
      </c>
      <c r="C10" s="8">
        <v>0.116</v>
      </c>
      <c r="D10" s="9">
        <f t="shared" si="1"/>
        <v>35.68</v>
      </c>
      <c r="E10" s="16">
        <f t="shared" si="2"/>
        <v>0.93</v>
      </c>
      <c r="F10" s="10">
        <f t="shared" si="3"/>
        <v>2.306004135</v>
      </c>
      <c r="G10" s="11">
        <f t="shared" si="4"/>
        <v>35.04</v>
      </c>
      <c r="H10" s="10">
        <f t="shared" si="5"/>
        <v>13.125</v>
      </c>
      <c r="I10" s="10">
        <f t="shared" si="6"/>
        <v>10.09</v>
      </c>
      <c r="J10" s="12">
        <f t="shared" si="7"/>
        <v>28.796</v>
      </c>
      <c r="K10" s="17">
        <f t="shared" si="8"/>
        <v>0.949</v>
      </c>
      <c r="L10" s="10">
        <f t="shared" si="9"/>
        <v>0.084</v>
      </c>
      <c r="M10" s="10">
        <f t="shared" si="10"/>
        <v>0.06456811579</v>
      </c>
      <c r="N10" s="18">
        <f t="shared" si="11"/>
        <v>6.8</v>
      </c>
      <c r="O10" s="9">
        <f t="shared" si="12"/>
        <v>82</v>
      </c>
      <c r="P10" s="9">
        <f t="shared" si="13"/>
        <v>10.98</v>
      </c>
    </row>
    <row r="11">
      <c r="A11" s="8">
        <v>10.0</v>
      </c>
      <c r="B11" s="15">
        <v>3.31E-4</v>
      </c>
      <c r="C11" s="8">
        <v>0.063</v>
      </c>
      <c r="D11" s="9">
        <f t="shared" si="1"/>
        <v>20.53</v>
      </c>
      <c r="E11" s="16">
        <f t="shared" si="2"/>
        <v>1.05</v>
      </c>
      <c r="F11" s="10">
        <f t="shared" si="3"/>
        <v>2.262157163</v>
      </c>
      <c r="G11" s="11">
        <f t="shared" si="4"/>
        <v>33.59</v>
      </c>
      <c r="H11" s="10">
        <f t="shared" si="5"/>
        <v>13.198</v>
      </c>
      <c r="I11" s="10">
        <f t="shared" si="6"/>
        <v>9.44</v>
      </c>
      <c r="J11" s="12">
        <f t="shared" si="7"/>
        <v>28.104</v>
      </c>
      <c r="K11" s="17">
        <f t="shared" si="8"/>
        <v>0.959</v>
      </c>
      <c r="L11" s="10">
        <f t="shared" si="9"/>
        <v>0.085</v>
      </c>
      <c r="M11" s="10">
        <f t="shared" si="10"/>
        <v>0.06080533701</v>
      </c>
      <c r="N11" s="18">
        <f t="shared" si="11"/>
        <v>6.34</v>
      </c>
      <c r="O11" s="9">
        <f t="shared" si="12"/>
        <v>82</v>
      </c>
      <c r="P11" s="9">
        <f t="shared" si="13"/>
        <v>12.2</v>
      </c>
    </row>
    <row r="12">
      <c r="A12" s="8">
        <v>11.0</v>
      </c>
      <c r="B12" s="8">
        <v>0.002</v>
      </c>
      <c r="C12" s="8">
        <v>0.171</v>
      </c>
      <c r="D12" s="9">
        <f t="shared" si="1"/>
        <v>50.46</v>
      </c>
      <c r="E12" s="9">
        <f t="shared" si="2"/>
        <v>0.86</v>
      </c>
      <c r="F12" s="10">
        <f t="shared" si="3"/>
        <v>2.228138852</v>
      </c>
      <c r="G12" s="11">
        <f t="shared" si="4"/>
        <v>35.12</v>
      </c>
      <c r="H12" s="10">
        <f t="shared" si="5"/>
        <v>13.515</v>
      </c>
      <c r="I12" s="10">
        <f t="shared" si="6"/>
        <v>9.08</v>
      </c>
      <c r="J12" s="12">
        <f t="shared" si="7"/>
        <v>25.854</v>
      </c>
      <c r="K12" s="17">
        <f t="shared" si="8"/>
        <v>0.95</v>
      </c>
      <c r="L12" s="10">
        <f t="shared" si="9"/>
        <v>0.086</v>
      </c>
      <c r="M12" s="10">
        <f t="shared" si="10"/>
        <v>0.05777558614</v>
      </c>
      <c r="N12" s="18">
        <f t="shared" si="11"/>
        <v>6.08</v>
      </c>
      <c r="O12" s="9">
        <f t="shared" si="12"/>
        <v>82</v>
      </c>
      <c r="P12" s="9">
        <f t="shared" si="13"/>
        <v>13.41</v>
      </c>
    </row>
    <row r="13">
      <c r="A13" s="8">
        <v>12.0</v>
      </c>
      <c r="B13" s="8">
        <v>0.001</v>
      </c>
      <c r="C13" s="8">
        <v>0.125</v>
      </c>
      <c r="D13" s="9">
        <f t="shared" si="1"/>
        <v>35.68</v>
      </c>
      <c r="E13" s="9">
        <f t="shared" si="2"/>
        <v>0.8</v>
      </c>
      <c r="F13" s="10">
        <f t="shared" si="3"/>
        <v>2.20098516</v>
      </c>
      <c r="G13" s="11">
        <f t="shared" si="4"/>
        <v>35.17</v>
      </c>
      <c r="H13" s="10">
        <f t="shared" si="5"/>
        <v>12.887</v>
      </c>
      <c r="I13" s="10">
        <f t="shared" si="6"/>
        <v>8.19</v>
      </c>
      <c r="J13" s="12">
        <f t="shared" si="7"/>
        <v>23.287</v>
      </c>
      <c r="K13" s="17">
        <f t="shared" si="8"/>
        <v>0.938</v>
      </c>
      <c r="L13" s="10">
        <f t="shared" si="9"/>
        <v>0.093</v>
      </c>
      <c r="M13" s="10">
        <f t="shared" si="10"/>
        <v>0.05908938092</v>
      </c>
      <c r="N13" s="18">
        <f t="shared" si="11"/>
        <v>6.3</v>
      </c>
      <c r="O13" s="9">
        <f t="shared" si="12"/>
        <v>82</v>
      </c>
      <c r="P13" s="9">
        <f t="shared" si="13"/>
        <v>14.63</v>
      </c>
    </row>
    <row r="14">
      <c r="A14" s="8">
        <v>13.0</v>
      </c>
      <c r="B14" s="8">
        <v>0.002</v>
      </c>
      <c r="C14" s="8">
        <v>0.152</v>
      </c>
      <c r="D14" s="9">
        <f t="shared" si="1"/>
        <v>50.46</v>
      </c>
      <c r="E14" s="9">
        <f t="shared" si="2"/>
        <v>1.09</v>
      </c>
      <c r="F14" s="10">
        <f t="shared" si="3"/>
        <v>2.17881283</v>
      </c>
      <c r="G14" s="11">
        <f t="shared" si="4"/>
        <v>36.35</v>
      </c>
      <c r="H14" s="10">
        <f t="shared" si="5"/>
        <v>13.046</v>
      </c>
      <c r="I14" s="10">
        <f t="shared" si="6"/>
        <v>7.88</v>
      </c>
      <c r="J14" s="12">
        <f t="shared" si="7"/>
        <v>21.678</v>
      </c>
      <c r="K14" s="17">
        <f t="shared" si="8"/>
        <v>0.949</v>
      </c>
      <c r="L14" s="10">
        <f t="shared" si="9"/>
        <v>0.099</v>
      </c>
      <c r="M14" s="10">
        <f t="shared" si="10"/>
        <v>0.05982510126</v>
      </c>
      <c r="N14" s="18">
        <f t="shared" si="11"/>
        <v>6.3</v>
      </c>
      <c r="O14" s="9">
        <f t="shared" si="12"/>
        <v>82</v>
      </c>
      <c r="P14" s="9">
        <f t="shared" si="13"/>
        <v>15.85</v>
      </c>
    </row>
    <row r="15">
      <c r="A15" s="8">
        <v>14.0</v>
      </c>
      <c r="B15" s="15">
        <v>7.957E-4</v>
      </c>
      <c r="C15" s="8">
        <v>0.102</v>
      </c>
      <c r="D15" s="9">
        <f t="shared" si="1"/>
        <v>31.83</v>
      </c>
      <c r="E15" s="16">
        <f t="shared" si="2"/>
        <v>0.96</v>
      </c>
      <c r="F15" s="10">
        <f t="shared" si="3"/>
        <v>2.160368656</v>
      </c>
      <c r="G15" s="11">
        <f t="shared" si="4"/>
        <v>36.02</v>
      </c>
      <c r="H15" s="10">
        <f t="shared" si="5"/>
        <v>12.593</v>
      </c>
      <c r="I15" s="10">
        <f t="shared" si="6"/>
        <v>7.27</v>
      </c>
      <c r="J15" s="12">
        <f t="shared" si="7"/>
        <v>20.183</v>
      </c>
      <c r="K15" s="17">
        <f t="shared" si="8"/>
        <v>0.95</v>
      </c>
      <c r="L15" s="10">
        <f t="shared" si="9"/>
        <v>0.095</v>
      </c>
      <c r="M15" s="10">
        <f t="shared" si="10"/>
        <v>0.05485136696</v>
      </c>
      <c r="N15" s="18">
        <f t="shared" si="11"/>
        <v>5.77</v>
      </c>
      <c r="O15" s="9">
        <f t="shared" si="12"/>
        <v>82</v>
      </c>
      <c r="P15" s="9">
        <f t="shared" si="13"/>
        <v>17.07</v>
      </c>
    </row>
    <row r="16">
      <c r="A16" s="8">
        <v>15.0</v>
      </c>
      <c r="B16" s="8">
        <v>0.003</v>
      </c>
      <c r="C16" s="8">
        <v>0.192</v>
      </c>
      <c r="D16" s="9">
        <f t="shared" si="1"/>
        <v>61.8</v>
      </c>
      <c r="E16" s="9">
        <f t="shared" si="2"/>
        <v>1.02</v>
      </c>
      <c r="F16" s="10">
        <f t="shared" si="3"/>
        <v>2.144786688</v>
      </c>
      <c r="G16" s="11">
        <f t="shared" si="4"/>
        <v>37.74</v>
      </c>
      <c r="H16" s="10">
        <f t="shared" si="5"/>
        <v>13.84</v>
      </c>
      <c r="I16" s="10">
        <f t="shared" si="6"/>
        <v>7.66</v>
      </c>
      <c r="J16" s="12">
        <f t="shared" si="7"/>
        <v>20.297</v>
      </c>
      <c r="K16" s="17">
        <f t="shared" si="8"/>
        <v>0.955</v>
      </c>
      <c r="L16" s="10">
        <f t="shared" si="9"/>
        <v>0.093</v>
      </c>
      <c r="M16" s="10">
        <f t="shared" si="10"/>
        <v>0.05150168337</v>
      </c>
      <c r="N16" s="18">
        <f t="shared" si="11"/>
        <v>5.39</v>
      </c>
      <c r="O16" s="9">
        <f t="shared" si="12"/>
        <v>82</v>
      </c>
      <c r="P16" s="9">
        <f t="shared" si="13"/>
        <v>18.29</v>
      </c>
    </row>
    <row r="17">
      <c r="A17" s="8">
        <v>16.0</v>
      </c>
      <c r="B17" s="8">
        <v>0.002</v>
      </c>
      <c r="C17" s="8">
        <v>0.16</v>
      </c>
      <c r="D17" s="9">
        <f t="shared" si="1"/>
        <v>50.46</v>
      </c>
      <c r="E17" s="9">
        <f t="shared" si="2"/>
        <v>0.98</v>
      </c>
      <c r="F17" s="10">
        <f t="shared" si="3"/>
        <v>2.131449546</v>
      </c>
      <c r="G17" s="11">
        <f t="shared" si="4"/>
        <v>38.54</v>
      </c>
      <c r="H17" s="10">
        <f t="shared" si="5"/>
        <v>13.743</v>
      </c>
      <c r="I17" s="10">
        <f t="shared" si="6"/>
        <v>7.32</v>
      </c>
      <c r="J17" s="12">
        <f t="shared" si="7"/>
        <v>18.993</v>
      </c>
      <c r="K17" s="17">
        <f t="shared" si="8"/>
        <v>0.956</v>
      </c>
      <c r="L17" s="10">
        <f t="shared" si="9"/>
        <v>0.09</v>
      </c>
      <c r="M17" s="10">
        <f t="shared" si="10"/>
        <v>0.04795761478</v>
      </c>
      <c r="N17" s="18">
        <f t="shared" si="11"/>
        <v>5.02</v>
      </c>
      <c r="O17" s="9">
        <f t="shared" si="12"/>
        <v>82</v>
      </c>
      <c r="P17" s="9">
        <f t="shared" si="13"/>
        <v>19.51</v>
      </c>
    </row>
    <row r="18">
      <c r="A18" s="8">
        <v>17.0</v>
      </c>
      <c r="B18" s="8">
        <v>0.002</v>
      </c>
      <c r="C18" s="8">
        <v>0.161</v>
      </c>
      <c r="D18" s="9">
        <f t="shared" si="1"/>
        <v>50.46</v>
      </c>
      <c r="E18" s="9">
        <f t="shared" si="2"/>
        <v>0.97</v>
      </c>
      <c r="F18" s="10">
        <f t="shared" si="3"/>
        <v>2.119905299</v>
      </c>
      <c r="G18" s="11">
        <f t="shared" si="4"/>
        <v>39.24</v>
      </c>
      <c r="H18" s="10">
        <f t="shared" si="5"/>
        <v>13.618</v>
      </c>
      <c r="I18" s="10">
        <f t="shared" si="6"/>
        <v>7</v>
      </c>
      <c r="J18" s="12">
        <f t="shared" si="7"/>
        <v>17.839</v>
      </c>
      <c r="K18" s="17">
        <f t="shared" si="8"/>
        <v>0.957</v>
      </c>
      <c r="L18" s="10">
        <f t="shared" si="9"/>
        <v>0.087</v>
      </c>
      <c r="M18" s="10">
        <f t="shared" si="10"/>
        <v>0.04473127244</v>
      </c>
      <c r="N18" s="18">
        <f t="shared" si="11"/>
        <v>4.67</v>
      </c>
      <c r="O18" s="9">
        <f t="shared" si="12"/>
        <v>82</v>
      </c>
      <c r="P18" s="9">
        <f t="shared" si="13"/>
        <v>20.73</v>
      </c>
    </row>
    <row r="19">
      <c r="A19" s="8">
        <v>18.0</v>
      </c>
      <c r="B19" s="15">
        <v>0.002</v>
      </c>
      <c r="C19" s="8">
        <v>0.152</v>
      </c>
      <c r="D19" s="9">
        <f t="shared" si="1"/>
        <v>50.46</v>
      </c>
      <c r="E19" s="16">
        <f t="shared" si="2"/>
        <v>1.09</v>
      </c>
      <c r="F19" s="10">
        <f t="shared" si="3"/>
        <v>2.109815578</v>
      </c>
      <c r="G19" s="11">
        <f t="shared" si="4"/>
        <v>39.86</v>
      </c>
      <c r="H19" s="10">
        <f t="shared" si="5"/>
        <v>13.473</v>
      </c>
      <c r="I19" s="10">
        <f t="shared" si="6"/>
        <v>6.7</v>
      </c>
      <c r="J19" s="12">
        <f t="shared" si="7"/>
        <v>16.809</v>
      </c>
      <c r="K19" s="17">
        <f t="shared" si="8"/>
        <v>0.964</v>
      </c>
      <c r="L19" s="10">
        <f t="shared" si="9"/>
        <v>0.09</v>
      </c>
      <c r="M19" s="10">
        <f t="shared" si="10"/>
        <v>0.04475594706</v>
      </c>
      <c r="N19" s="18">
        <f t="shared" si="11"/>
        <v>4.64</v>
      </c>
      <c r="O19" s="9">
        <f t="shared" si="12"/>
        <v>82</v>
      </c>
      <c r="P19" s="9">
        <f t="shared" si="13"/>
        <v>21.95</v>
      </c>
    </row>
    <row r="20">
      <c r="A20" s="8">
        <v>19.0</v>
      </c>
      <c r="B20" s="15">
        <v>0.003</v>
      </c>
      <c r="C20" s="8">
        <v>0.204</v>
      </c>
      <c r="D20" s="9">
        <f t="shared" si="1"/>
        <v>61.8</v>
      </c>
      <c r="E20" s="16">
        <f t="shared" si="2"/>
        <v>0.91</v>
      </c>
      <c r="F20" s="10">
        <f t="shared" si="3"/>
        <v>2.10092204</v>
      </c>
      <c r="G20" s="11">
        <f t="shared" si="4"/>
        <v>41.02</v>
      </c>
      <c r="H20" s="10">
        <f t="shared" si="5"/>
        <v>14.028</v>
      </c>
      <c r="I20" s="10">
        <f t="shared" si="6"/>
        <v>6.76</v>
      </c>
      <c r="J20" s="12">
        <f t="shared" si="7"/>
        <v>16.48</v>
      </c>
      <c r="K20" s="17">
        <f t="shared" si="8"/>
        <v>0.962</v>
      </c>
      <c r="L20" s="10">
        <f t="shared" si="9"/>
        <v>0.089</v>
      </c>
      <c r="M20" s="10">
        <f t="shared" si="10"/>
        <v>0.04289662688</v>
      </c>
      <c r="N20" s="18">
        <f t="shared" si="11"/>
        <v>4.46</v>
      </c>
      <c r="O20" s="9">
        <f t="shared" si="12"/>
        <v>82</v>
      </c>
      <c r="P20" s="9">
        <f t="shared" si="13"/>
        <v>23.17</v>
      </c>
    </row>
    <row r="21">
      <c r="A21" s="8">
        <v>20.0</v>
      </c>
      <c r="B21" s="15">
        <v>0.001</v>
      </c>
      <c r="C21" s="8">
        <v>0.136</v>
      </c>
      <c r="D21" s="9">
        <f t="shared" si="1"/>
        <v>35.68</v>
      </c>
      <c r="E21" s="16">
        <f t="shared" si="2"/>
        <v>0.68</v>
      </c>
      <c r="F21" s="10">
        <f t="shared" si="3"/>
        <v>2.093024054</v>
      </c>
      <c r="G21" s="11">
        <f t="shared" si="4"/>
        <v>40.75</v>
      </c>
      <c r="H21" s="10">
        <f t="shared" si="5"/>
        <v>13.705</v>
      </c>
      <c r="I21" s="10">
        <f t="shared" si="6"/>
        <v>6.41</v>
      </c>
      <c r="J21" s="12">
        <f t="shared" si="7"/>
        <v>15.73</v>
      </c>
      <c r="K21" s="17">
        <f t="shared" si="8"/>
        <v>0.948</v>
      </c>
      <c r="L21" s="10">
        <f t="shared" si="9"/>
        <v>0.107</v>
      </c>
      <c r="M21" s="10">
        <f t="shared" si="10"/>
        <v>0.05007754149</v>
      </c>
      <c r="N21" s="18">
        <f t="shared" si="11"/>
        <v>5.28</v>
      </c>
      <c r="O21" s="9">
        <f t="shared" si="12"/>
        <v>82</v>
      </c>
      <c r="P21" s="9">
        <f t="shared" si="13"/>
        <v>24.39</v>
      </c>
    </row>
    <row r="22">
      <c r="A22" s="8">
        <v>21.0</v>
      </c>
      <c r="B22" s="8">
        <v>0.003</v>
      </c>
      <c r="C22" s="8">
        <v>0.204</v>
      </c>
      <c r="D22" s="9">
        <f t="shared" si="1"/>
        <v>61.8</v>
      </c>
      <c r="E22" s="9">
        <f t="shared" si="2"/>
        <v>0.91</v>
      </c>
      <c r="F22" s="10">
        <f t="shared" si="3"/>
        <v>2.085963447</v>
      </c>
      <c r="G22" s="11">
        <f t="shared" si="4"/>
        <v>41.75</v>
      </c>
      <c r="H22" s="10">
        <f t="shared" si="5"/>
        <v>14.126</v>
      </c>
      <c r="I22" s="10">
        <f t="shared" si="6"/>
        <v>6.43</v>
      </c>
      <c r="J22" s="12">
        <f t="shared" si="7"/>
        <v>15.401</v>
      </c>
      <c r="K22" s="17">
        <f t="shared" si="8"/>
        <v>0.946</v>
      </c>
      <c r="L22" s="10">
        <f t="shared" si="9"/>
        <v>0.104</v>
      </c>
      <c r="M22" s="10">
        <f t="shared" si="10"/>
        <v>0.04734023243</v>
      </c>
      <c r="N22" s="18">
        <f t="shared" si="11"/>
        <v>5</v>
      </c>
      <c r="O22" s="9">
        <f t="shared" si="12"/>
        <v>82</v>
      </c>
      <c r="P22" s="9">
        <f t="shared" si="13"/>
        <v>25.61</v>
      </c>
    </row>
    <row r="23">
      <c r="A23" s="8">
        <v>22.0</v>
      </c>
      <c r="B23" s="15">
        <v>0.001</v>
      </c>
      <c r="C23" s="8">
        <v>0.135</v>
      </c>
      <c r="D23" s="9">
        <f t="shared" si="1"/>
        <v>35.68</v>
      </c>
      <c r="E23" s="16">
        <f t="shared" si="2"/>
        <v>0.69</v>
      </c>
      <c r="F23" s="10">
        <f t="shared" si="3"/>
        <v>2.079613845</v>
      </c>
      <c r="G23" s="11">
        <f t="shared" si="4"/>
        <v>41.48</v>
      </c>
      <c r="H23" s="10">
        <f t="shared" si="5"/>
        <v>13.846</v>
      </c>
      <c r="I23" s="10">
        <f t="shared" si="6"/>
        <v>6.14</v>
      </c>
      <c r="J23" s="12">
        <f t="shared" si="7"/>
        <v>14.802</v>
      </c>
      <c r="K23" s="17">
        <f t="shared" si="8"/>
        <v>0.934</v>
      </c>
      <c r="L23" s="10">
        <f t="shared" si="9"/>
        <v>0.116</v>
      </c>
      <c r="M23" s="10">
        <f t="shared" si="10"/>
        <v>0.05143151873</v>
      </c>
      <c r="N23" s="18">
        <f t="shared" si="11"/>
        <v>5.51</v>
      </c>
      <c r="O23" s="9">
        <f t="shared" si="12"/>
        <v>82</v>
      </c>
      <c r="P23" s="9">
        <f t="shared" si="13"/>
        <v>26.83</v>
      </c>
    </row>
    <row r="24">
      <c r="A24" s="8">
        <v>23.0</v>
      </c>
      <c r="B24" s="15">
        <v>7.384E-4</v>
      </c>
      <c r="C24" s="8">
        <v>0.097</v>
      </c>
      <c r="D24" s="9">
        <f t="shared" si="1"/>
        <v>30.66</v>
      </c>
      <c r="E24" s="16">
        <f t="shared" si="2"/>
        <v>0.99</v>
      </c>
      <c r="F24" s="10">
        <f t="shared" si="3"/>
        <v>2.073873068</v>
      </c>
      <c r="G24" s="11">
        <f t="shared" si="4"/>
        <v>41.01</v>
      </c>
      <c r="H24" s="10">
        <f t="shared" si="5"/>
        <v>13.715</v>
      </c>
      <c r="I24" s="10">
        <f t="shared" si="6"/>
        <v>5.93</v>
      </c>
      <c r="J24" s="12">
        <f t="shared" si="7"/>
        <v>14.46</v>
      </c>
      <c r="K24" s="17">
        <f t="shared" si="8"/>
        <v>0.937</v>
      </c>
      <c r="L24" s="10">
        <f t="shared" si="9"/>
        <v>0.114</v>
      </c>
      <c r="M24" s="10">
        <f t="shared" si="10"/>
        <v>0.04929729674</v>
      </c>
      <c r="N24" s="18">
        <f t="shared" si="11"/>
        <v>5.26</v>
      </c>
      <c r="O24" s="9">
        <f t="shared" si="12"/>
        <v>82</v>
      </c>
      <c r="P24" s="9">
        <f t="shared" si="13"/>
        <v>28.05</v>
      </c>
    </row>
    <row r="25">
      <c r="A25" s="8">
        <v>24.0</v>
      </c>
      <c r="B25" s="8">
        <v>0.003</v>
      </c>
      <c r="C25" s="8">
        <v>0.188</v>
      </c>
      <c r="D25" s="9">
        <f t="shared" si="1"/>
        <v>61.8</v>
      </c>
      <c r="E25" s="9">
        <f t="shared" si="2"/>
        <v>1.07</v>
      </c>
      <c r="F25" s="10">
        <f t="shared" si="3"/>
        <v>2.06865761</v>
      </c>
      <c r="G25" s="11">
        <f t="shared" si="4"/>
        <v>41.87</v>
      </c>
      <c r="H25" s="10">
        <f t="shared" si="5"/>
        <v>14.069</v>
      </c>
      <c r="I25" s="10">
        <f t="shared" si="6"/>
        <v>5.94</v>
      </c>
      <c r="J25" s="12">
        <f t="shared" si="7"/>
        <v>14.187</v>
      </c>
      <c r="K25" s="17">
        <f t="shared" si="8"/>
        <v>0.942</v>
      </c>
      <c r="L25" s="10">
        <f t="shared" si="9"/>
        <v>0.114</v>
      </c>
      <c r="M25" s="10">
        <f t="shared" si="10"/>
        <v>0.04813797818</v>
      </c>
      <c r="N25" s="18">
        <f t="shared" si="11"/>
        <v>5.11</v>
      </c>
      <c r="O25" s="9">
        <f t="shared" si="12"/>
        <v>82</v>
      </c>
      <c r="P25" s="9">
        <f t="shared" si="13"/>
        <v>29.27</v>
      </c>
    </row>
    <row r="26">
      <c r="A26" s="8">
        <v>25.0</v>
      </c>
      <c r="B26" s="15">
        <v>9.548E-4</v>
      </c>
      <c r="C26" s="8">
        <v>0.112</v>
      </c>
      <c r="D26" s="9">
        <f t="shared" si="1"/>
        <v>34.87</v>
      </c>
      <c r="E26" s="16">
        <f t="shared" si="2"/>
        <v>0.96</v>
      </c>
      <c r="F26" s="10">
        <f t="shared" si="3"/>
        <v>2.063898562</v>
      </c>
      <c r="G26" s="11">
        <f t="shared" si="4"/>
        <v>41.59</v>
      </c>
      <c r="H26" s="10">
        <f t="shared" si="5"/>
        <v>13.844</v>
      </c>
      <c r="I26" s="10">
        <f t="shared" si="6"/>
        <v>5.71</v>
      </c>
      <c r="J26" s="12">
        <f t="shared" si="7"/>
        <v>13.729</v>
      </c>
      <c r="K26" s="17">
        <f t="shared" si="8"/>
        <v>0.943</v>
      </c>
      <c r="L26" s="10">
        <f t="shared" si="9"/>
        <v>0.112</v>
      </c>
      <c r="M26" s="10">
        <f t="shared" si="10"/>
        <v>0.04623132778</v>
      </c>
      <c r="N26" s="18">
        <f t="shared" si="11"/>
        <v>4.9</v>
      </c>
      <c r="O26" s="9">
        <f t="shared" si="12"/>
        <v>82</v>
      </c>
      <c r="P26" s="9">
        <f t="shared" si="13"/>
        <v>30.49</v>
      </c>
    </row>
    <row r="27">
      <c r="A27" s="8">
        <v>26.0</v>
      </c>
      <c r="B27" s="15">
        <v>0.004</v>
      </c>
      <c r="C27" s="8">
        <v>0.219</v>
      </c>
      <c r="D27" s="9">
        <f t="shared" si="1"/>
        <v>71.36</v>
      </c>
      <c r="E27" s="16">
        <f t="shared" si="2"/>
        <v>1.05</v>
      </c>
      <c r="F27" s="10">
        <f t="shared" si="3"/>
        <v>2.059538553</v>
      </c>
      <c r="G27" s="11">
        <f t="shared" si="4"/>
        <v>42.74</v>
      </c>
      <c r="H27" s="10">
        <f t="shared" si="5"/>
        <v>14.767</v>
      </c>
      <c r="I27" s="10">
        <f t="shared" si="6"/>
        <v>5.96</v>
      </c>
      <c r="J27" s="12">
        <f t="shared" si="7"/>
        <v>13.945</v>
      </c>
      <c r="K27" s="17">
        <f t="shared" si="8"/>
        <v>0.947</v>
      </c>
      <c r="L27" s="10">
        <f t="shared" si="9"/>
        <v>0.112</v>
      </c>
      <c r="M27" s="10">
        <f t="shared" si="10"/>
        <v>0.04523777901</v>
      </c>
      <c r="N27" s="18">
        <f t="shared" si="11"/>
        <v>4.78</v>
      </c>
      <c r="O27" s="9">
        <f t="shared" si="12"/>
        <v>82</v>
      </c>
      <c r="P27" s="9">
        <f t="shared" si="13"/>
        <v>31.71</v>
      </c>
    </row>
    <row r="28">
      <c r="A28" s="8">
        <v>27.0</v>
      </c>
      <c r="B28" s="15">
        <v>7.575E-4</v>
      </c>
      <c r="C28" s="8">
        <v>0.097</v>
      </c>
      <c r="D28" s="9">
        <f t="shared" si="1"/>
        <v>31.06</v>
      </c>
      <c r="E28" s="16">
        <f t="shared" si="2"/>
        <v>1.01</v>
      </c>
      <c r="F28" s="10">
        <f t="shared" si="3"/>
        <v>2.055529439</v>
      </c>
      <c r="G28" s="11">
        <f t="shared" si="4"/>
        <v>42.3</v>
      </c>
      <c r="H28" s="10">
        <f t="shared" si="5"/>
        <v>14.654</v>
      </c>
      <c r="I28" s="10">
        <f t="shared" si="6"/>
        <v>5.8</v>
      </c>
      <c r="J28" s="12">
        <f t="shared" si="7"/>
        <v>13.712</v>
      </c>
      <c r="K28" s="17">
        <f t="shared" si="8"/>
        <v>0.949</v>
      </c>
      <c r="L28" s="10">
        <f t="shared" si="9"/>
        <v>0.11</v>
      </c>
      <c r="M28" s="10">
        <f t="shared" si="10"/>
        <v>0.04351455074</v>
      </c>
      <c r="N28" s="18">
        <f t="shared" si="11"/>
        <v>4.59</v>
      </c>
      <c r="O28" s="9">
        <f t="shared" si="12"/>
        <v>82</v>
      </c>
      <c r="P28" s="9">
        <f t="shared" si="13"/>
        <v>32.93</v>
      </c>
    </row>
    <row r="29">
      <c r="A29" s="8">
        <v>28.0</v>
      </c>
      <c r="B29" s="15">
        <v>3.055E-4</v>
      </c>
      <c r="C29" s="8">
        <v>0.061</v>
      </c>
      <c r="D29" s="9">
        <f t="shared" si="1"/>
        <v>19.72</v>
      </c>
      <c r="E29" s="16">
        <f t="shared" si="2"/>
        <v>1.03</v>
      </c>
      <c r="F29" s="10">
        <f t="shared" si="3"/>
        <v>2.051830516</v>
      </c>
      <c r="G29" s="11">
        <f t="shared" si="4"/>
        <v>41.5</v>
      </c>
      <c r="H29" s="10">
        <f t="shared" si="5"/>
        <v>15</v>
      </c>
      <c r="I29" s="10">
        <f t="shared" si="6"/>
        <v>5.82</v>
      </c>
      <c r="J29" s="12">
        <f t="shared" si="7"/>
        <v>14.024</v>
      </c>
      <c r="K29" s="17">
        <f t="shared" si="8"/>
        <v>0.952</v>
      </c>
      <c r="L29" s="10">
        <f t="shared" si="9"/>
        <v>0.109</v>
      </c>
      <c r="M29" s="10">
        <f t="shared" si="10"/>
        <v>0.04226578767</v>
      </c>
      <c r="N29" s="18">
        <f t="shared" si="11"/>
        <v>4.44</v>
      </c>
      <c r="O29" s="9">
        <f t="shared" si="12"/>
        <v>82</v>
      </c>
      <c r="P29" s="9">
        <f t="shared" si="13"/>
        <v>34.15</v>
      </c>
    </row>
    <row r="30">
      <c r="A30" s="8">
        <v>29.0</v>
      </c>
      <c r="B30" s="8">
        <v>0.003</v>
      </c>
      <c r="C30" s="8">
        <v>0.191</v>
      </c>
      <c r="D30" s="9">
        <f t="shared" si="1"/>
        <v>61.8</v>
      </c>
      <c r="E30" s="9">
        <f t="shared" si="2"/>
        <v>1.03</v>
      </c>
      <c r="F30" s="10">
        <f t="shared" si="3"/>
        <v>2.048407142</v>
      </c>
      <c r="G30" s="11">
        <f t="shared" si="4"/>
        <v>42.2</v>
      </c>
      <c r="H30" s="10">
        <f t="shared" si="5"/>
        <v>15.204</v>
      </c>
      <c r="I30" s="10">
        <f t="shared" si="6"/>
        <v>5.78</v>
      </c>
      <c r="J30" s="12">
        <f t="shared" si="7"/>
        <v>13.697</v>
      </c>
      <c r="K30" s="17">
        <f t="shared" si="8"/>
        <v>0.955</v>
      </c>
      <c r="L30" s="10">
        <f t="shared" si="9"/>
        <v>0.108</v>
      </c>
      <c r="M30" s="10">
        <f t="shared" si="10"/>
        <v>0.04108100295</v>
      </c>
      <c r="N30" s="18">
        <f t="shared" si="11"/>
        <v>4.3</v>
      </c>
      <c r="O30" s="9">
        <f t="shared" si="12"/>
        <v>82</v>
      </c>
      <c r="P30" s="9">
        <f t="shared" si="13"/>
        <v>35.37</v>
      </c>
    </row>
    <row r="31">
      <c r="A31" s="8">
        <v>30.0</v>
      </c>
      <c r="B31" s="15">
        <v>0.004</v>
      </c>
      <c r="C31" s="8">
        <v>0.243</v>
      </c>
      <c r="D31" s="9">
        <f t="shared" si="1"/>
        <v>71.36</v>
      </c>
      <c r="E31" s="16">
        <f t="shared" si="2"/>
        <v>0.85</v>
      </c>
      <c r="F31" s="10">
        <f t="shared" si="3"/>
        <v>2.045229642</v>
      </c>
      <c r="G31" s="11">
        <f t="shared" si="4"/>
        <v>43.17</v>
      </c>
      <c r="H31" s="10">
        <f t="shared" si="5"/>
        <v>15.86</v>
      </c>
      <c r="I31" s="10">
        <f t="shared" si="6"/>
        <v>5.92</v>
      </c>
      <c r="J31" s="12">
        <f t="shared" si="7"/>
        <v>13.713</v>
      </c>
      <c r="K31" s="17">
        <f t="shared" si="8"/>
        <v>0.951</v>
      </c>
      <c r="L31" s="10">
        <f t="shared" si="9"/>
        <v>0.108</v>
      </c>
      <c r="M31" s="10">
        <f t="shared" si="10"/>
        <v>0.04032786277</v>
      </c>
      <c r="N31" s="18">
        <f t="shared" si="11"/>
        <v>4.24</v>
      </c>
      <c r="O31" s="9">
        <f t="shared" si="12"/>
        <v>82</v>
      </c>
      <c r="P31" s="9">
        <f t="shared" si="13"/>
        <v>36.59</v>
      </c>
    </row>
    <row r="32">
      <c r="A32" s="8">
        <v>31.0</v>
      </c>
      <c r="B32" s="15">
        <v>4.774E-4</v>
      </c>
      <c r="C32" s="8">
        <v>0.078</v>
      </c>
      <c r="D32" s="9">
        <f t="shared" si="1"/>
        <v>24.65</v>
      </c>
      <c r="E32" s="16">
        <f t="shared" si="2"/>
        <v>0.99</v>
      </c>
      <c r="F32" s="10">
        <f t="shared" si="3"/>
        <v>2.042272456</v>
      </c>
      <c r="G32" s="11">
        <f t="shared" si="4"/>
        <v>42.57</v>
      </c>
      <c r="H32" s="10">
        <f t="shared" si="5"/>
        <v>15.944</v>
      </c>
      <c r="I32" s="10">
        <f t="shared" si="6"/>
        <v>5.85</v>
      </c>
      <c r="J32" s="12">
        <f t="shared" si="7"/>
        <v>13.742</v>
      </c>
      <c r="K32" s="17">
        <f t="shared" si="8"/>
        <v>0.953</v>
      </c>
      <c r="L32" s="10">
        <f t="shared" si="9"/>
        <v>0.106</v>
      </c>
      <c r="M32" s="10">
        <f t="shared" si="10"/>
        <v>0.0388811139</v>
      </c>
      <c r="N32" s="18">
        <f t="shared" si="11"/>
        <v>4.08</v>
      </c>
      <c r="O32" s="9">
        <f t="shared" si="12"/>
        <v>82</v>
      </c>
      <c r="P32" s="9">
        <f t="shared" si="13"/>
        <v>37.8</v>
      </c>
    </row>
    <row r="33">
      <c r="A33" s="8">
        <v>32.0</v>
      </c>
      <c r="B33" s="15">
        <v>0.003</v>
      </c>
      <c r="C33" s="8">
        <v>0.192</v>
      </c>
      <c r="D33" s="9">
        <f t="shared" si="1"/>
        <v>61.8</v>
      </c>
      <c r="E33" s="16">
        <f t="shared" si="2"/>
        <v>1.02</v>
      </c>
      <c r="F33" s="10">
        <f t="shared" si="3"/>
        <v>2.039513446</v>
      </c>
      <c r="G33" s="11">
        <f t="shared" si="4"/>
        <v>43.17</v>
      </c>
      <c r="H33" s="10">
        <f t="shared" si="5"/>
        <v>16.049</v>
      </c>
      <c r="I33" s="10">
        <f t="shared" si="6"/>
        <v>5.79</v>
      </c>
      <c r="J33" s="12">
        <f t="shared" si="7"/>
        <v>13.412</v>
      </c>
      <c r="K33" s="17">
        <f t="shared" si="8"/>
        <v>0.955</v>
      </c>
      <c r="L33" s="10">
        <f t="shared" si="9"/>
        <v>0.105</v>
      </c>
      <c r="M33" s="10">
        <f t="shared" si="10"/>
        <v>0.03785653694</v>
      </c>
      <c r="N33" s="18">
        <f t="shared" si="11"/>
        <v>3.96</v>
      </c>
      <c r="O33" s="9">
        <f t="shared" si="12"/>
        <v>82</v>
      </c>
      <c r="P33" s="9">
        <f t="shared" si="13"/>
        <v>39.02</v>
      </c>
    </row>
    <row r="34">
      <c r="A34" s="8">
        <v>33.0</v>
      </c>
      <c r="B34" s="8">
        <v>0.002</v>
      </c>
      <c r="C34" s="8">
        <v>0.158</v>
      </c>
      <c r="D34" s="9">
        <f t="shared" si="1"/>
        <v>50.46</v>
      </c>
      <c r="E34" s="9">
        <f t="shared" si="2"/>
        <v>1.01</v>
      </c>
      <c r="F34" s="10">
        <f t="shared" si="3"/>
        <v>2.036933343</v>
      </c>
      <c r="G34" s="11">
        <f t="shared" si="4"/>
        <v>43.39</v>
      </c>
      <c r="H34" s="10">
        <f t="shared" si="5"/>
        <v>15.847</v>
      </c>
      <c r="I34" s="10">
        <f t="shared" si="6"/>
        <v>5.62</v>
      </c>
      <c r="J34" s="12">
        <f t="shared" si="7"/>
        <v>12.952</v>
      </c>
      <c r="K34" s="17">
        <f t="shared" si="8"/>
        <v>0.956</v>
      </c>
      <c r="L34" s="10">
        <f t="shared" si="9"/>
        <v>0.104</v>
      </c>
      <c r="M34" s="10">
        <f t="shared" si="10"/>
        <v>0.0368767965</v>
      </c>
      <c r="N34" s="18">
        <f t="shared" si="11"/>
        <v>3.86</v>
      </c>
      <c r="O34" s="9">
        <f t="shared" si="12"/>
        <v>82</v>
      </c>
      <c r="P34" s="9">
        <f t="shared" si="13"/>
        <v>40.24</v>
      </c>
    </row>
    <row r="35">
      <c r="A35" s="8">
        <v>34.0</v>
      </c>
      <c r="B35" s="8">
        <v>0.018</v>
      </c>
      <c r="C35" s="8">
        <v>0.583</v>
      </c>
      <c r="D35" s="9">
        <f t="shared" si="1"/>
        <v>151.39</v>
      </c>
      <c r="E35" s="9">
        <f t="shared" si="2"/>
        <v>0.67</v>
      </c>
      <c r="F35" s="10">
        <f t="shared" si="3"/>
        <v>2.034515297</v>
      </c>
      <c r="G35" s="11">
        <f t="shared" si="4"/>
        <v>46.57</v>
      </c>
      <c r="H35" s="10">
        <f t="shared" si="5"/>
        <v>24.219</v>
      </c>
      <c r="I35" s="10">
        <f t="shared" si="6"/>
        <v>8.45</v>
      </c>
      <c r="J35" s="12">
        <f t="shared" si="7"/>
        <v>18.145</v>
      </c>
      <c r="K35" s="17">
        <f t="shared" si="8"/>
        <v>0.948</v>
      </c>
      <c r="L35" s="10">
        <f t="shared" si="9"/>
        <v>0.114</v>
      </c>
      <c r="M35" s="10">
        <f t="shared" si="10"/>
        <v>0.03977648043</v>
      </c>
      <c r="N35" s="18">
        <f t="shared" si="11"/>
        <v>4.2</v>
      </c>
      <c r="O35" s="9">
        <f t="shared" si="12"/>
        <v>82</v>
      </c>
      <c r="P35" s="9">
        <f t="shared" si="13"/>
        <v>41.46</v>
      </c>
    </row>
    <row r="36">
      <c r="A36" s="8">
        <v>35.0</v>
      </c>
      <c r="B36" s="8">
        <v>0.003</v>
      </c>
      <c r="C36" s="8">
        <v>0.196</v>
      </c>
      <c r="D36" s="9">
        <f t="shared" si="1"/>
        <v>61.8</v>
      </c>
      <c r="E36" s="9">
        <f t="shared" si="2"/>
        <v>0.98</v>
      </c>
      <c r="F36" s="10">
        <f t="shared" si="3"/>
        <v>2.032244509</v>
      </c>
      <c r="G36" s="11">
        <f t="shared" si="4"/>
        <v>47.01</v>
      </c>
      <c r="H36" s="10">
        <f t="shared" si="5"/>
        <v>23.999</v>
      </c>
      <c r="I36" s="10">
        <f t="shared" si="6"/>
        <v>8.24</v>
      </c>
      <c r="J36" s="12">
        <f t="shared" si="7"/>
        <v>17.528</v>
      </c>
      <c r="K36" s="17">
        <f t="shared" si="8"/>
        <v>0.949</v>
      </c>
      <c r="L36" s="10">
        <f t="shared" si="9"/>
        <v>0.112</v>
      </c>
      <c r="M36" s="10">
        <f t="shared" si="10"/>
        <v>0.0384733461</v>
      </c>
      <c r="N36" s="18">
        <f t="shared" si="11"/>
        <v>4.05</v>
      </c>
      <c r="O36" s="9">
        <f t="shared" si="12"/>
        <v>82</v>
      </c>
      <c r="P36" s="9">
        <f t="shared" si="13"/>
        <v>42.68</v>
      </c>
    </row>
    <row r="37">
      <c r="A37" s="8">
        <v>36.0</v>
      </c>
      <c r="B37" s="15">
        <v>8.403E-4</v>
      </c>
      <c r="C37" s="8">
        <v>0.104</v>
      </c>
      <c r="D37" s="9">
        <f t="shared" si="1"/>
        <v>32.71</v>
      </c>
      <c r="E37" s="16">
        <f t="shared" si="2"/>
        <v>0.98</v>
      </c>
      <c r="F37" s="10">
        <f t="shared" si="3"/>
        <v>2.030107928</v>
      </c>
      <c r="G37" s="11">
        <f t="shared" si="4"/>
        <v>46.61</v>
      </c>
      <c r="H37" s="10">
        <f t="shared" si="5"/>
        <v>23.773</v>
      </c>
      <c r="I37" s="10">
        <f t="shared" si="6"/>
        <v>8.04</v>
      </c>
      <c r="J37" s="12">
        <f t="shared" si="7"/>
        <v>17.25</v>
      </c>
      <c r="K37" s="17">
        <f t="shared" si="8"/>
        <v>0.95</v>
      </c>
      <c r="L37" s="10">
        <f t="shared" si="9"/>
        <v>0.111</v>
      </c>
      <c r="M37" s="10">
        <f t="shared" si="10"/>
        <v>0.03755699667</v>
      </c>
      <c r="N37" s="18">
        <f t="shared" si="11"/>
        <v>3.95</v>
      </c>
      <c r="O37" s="9">
        <f t="shared" si="12"/>
        <v>82</v>
      </c>
      <c r="P37" s="9">
        <f t="shared" si="13"/>
        <v>43.9</v>
      </c>
    </row>
    <row r="38">
      <c r="A38" s="8">
        <v>37.0</v>
      </c>
      <c r="B38" s="15">
        <v>1.591E-4</v>
      </c>
      <c r="C38" s="8">
        <v>0.045</v>
      </c>
      <c r="D38" s="9">
        <f t="shared" si="1"/>
        <v>14.23</v>
      </c>
      <c r="E38" s="16">
        <f t="shared" si="2"/>
        <v>0.99</v>
      </c>
      <c r="F38" s="10">
        <f t="shared" si="3"/>
        <v>2.028094001</v>
      </c>
      <c r="G38" s="11">
        <f t="shared" si="4"/>
        <v>45.73</v>
      </c>
      <c r="H38" s="10">
        <f t="shared" si="5"/>
        <v>24.037</v>
      </c>
      <c r="I38" s="10">
        <f t="shared" si="6"/>
        <v>8.01</v>
      </c>
      <c r="J38" s="12">
        <f t="shared" si="7"/>
        <v>17.516</v>
      </c>
      <c r="K38" s="17">
        <f t="shared" si="8"/>
        <v>0.951</v>
      </c>
      <c r="L38" s="10">
        <f t="shared" si="9"/>
        <v>0.109</v>
      </c>
      <c r="M38" s="10">
        <f t="shared" si="10"/>
        <v>0.03634240939</v>
      </c>
      <c r="N38" s="18">
        <f t="shared" si="11"/>
        <v>3.82</v>
      </c>
      <c r="O38" s="9">
        <f t="shared" si="12"/>
        <v>82</v>
      </c>
      <c r="P38" s="9">
        <f t="shared" si="13"/>
        <v>45.12</v>
      </c>
    </row>
    <row r="39">
      <c r="A39" s="8">
        <v>38.0</v>
      </c>
      <c r="B39" s="8">
        <v>0.003</v>
      </c>
      <c r="C39" s="8">
        <v>0.189</v>
      </c>
      <c r="D39" s="9">
        <f t="shared" si="1"/>
        <v>61.8</v>
      </c>
      <c r="E39" s="9">
        <f t="shared" si="2"/>
        <v>1.06</v>
      </c>
      <c r="F39" s="10">
        <f t="shared" si="3"/>
        <v>2.026192463</v>
      </c>
      <c r="G39" s="11">
        <f t="shared" si="4"/>
        <v>46.16</v>
      </c>
      <c r="H39" s="10">
        <f t="shared" si="5"/>
        <v>23.853</v>
      </c>
      <c r="I39" s="10">
        <f t="shared" si="6"/>
        <v>7.84</v>
      </c>
      <c r="J39" s="12">
        <f t="shared" si="7"/>
        <v>16.984</v>
      </c>
      <c r="K39" s="17">
        <f t="shared" si="8"/>
        <v>0.954</v>
      </c>
      <c r="L39" s="10">
        <f t="shared" si="9"/>
        <v>0.109</v>
      </c>
      <c r="M39" s="10">
        <f t="shared" si="10"/>
        <v>0.03582740847</v>
      </c>
      <c r="N39" s="18">
        <f t="shared" si="11"/>
        <v>3.76</v>
      </c>
      <c r="O39" s="9">
        <f t="shared" si="12"/>
        <v>82</v>
      </c>
      <c r="P39" s="9">
        <f t="shared" si="13"/>
        <v>46.34</v>
      </c>
    </row>
    <row r="40">
      <c r="A40" s="8">
        <v>39.0</v>
      </c>
      <c r="B40" s="8">
        <v>0.001</v>
      </c>
      <c r="C40" s="8">
        <v>0.118</v>
      </c>
      <c r="D40" s="9">
        <f t="shared" si="1"/>
        <v>35.68</v>
      </c>
      <c r="E40" s="9">
        <f t="shared" si="2"/>
        <v>0.9</v>
      </c>
      <c r="F40" s="10">
        <f t="shared" si="3"/>
        <v>2.024394164</v>
      </c>
      <c r="G40" s="11">
        <f t="shared" si="4"/>
        <v>45.89</v>
      </c>
      <c r="H40" s="10">
        <f t="shared" si="5"/>
        <v>23.597</v>
      </c>
      <c r="I40" s="10">
        <f t="shared" si="6"/>
        <v>7.65</v>
      </c>
      <c r="J40" s="12">
        <f t="shared" si="7"/>
        <v>16.67</v>
      </c>
      <c r="K40" s="17">
        <f t="shared" si="8"/>
        <v>0.952</v>
      </c>
      <c r="L40" s="10">
        <f t="shared" si="9"/>
        <v>0.108</v>
      </c>
      <c r="M40" s="10">
        <f t="shared" si="10"/>
        <v>0.03500955</v>
      </c>
      <c r="N40" s="18">
        <f t="shared" si="11"/>
        <v>3.68</v>
      </c>
      <c r="O40" s="9">
        <f t="shared" si="12"/>
        <v>82</v>
      </c>
      <c r="P40" s="9">
        <f t="shared" si="13"/>
        <v>47.56</v>
      </c>
    </row>
    <row r="41">
      <c r="A41" s="8">
        <v>40.0</v>
      </c>
      <c r="B41" s="15">
        <v>0.006</v>
      </c>
      <c r="C41" s="8">
        <v>0.29</v>
      </c>
      <c r="D41" s="9">
        <f t="shared" si="1"/>
        <v>87.4</v>
      </c>
      <c r="E41" s="16">
        <f t="shared" si="2"/>
        <v>0.9</v>
      </c>
      <c r="F41" s="10">
        <f t="shared" si="3"/>
        <v>2.02269092</v>
      </c>
      <c r="G41" s="11">
        <f t="shared" si="4"/>
        <v>46.93</v>
      </c>
      <c r="H41" s="10">
        <f t="shared" si="5"/>
        <v>24.199</v>
      </c>
      <c r="I41" s="10">
        <f t="shared" si="6"/>
        <v>7.74</v>
      </c>
      <c r="J41" s="12">
        <f t="shared" si="7"/>
        <v>16.493</v>
      </c>
      <c r="K41" s="17">
        <f t="shared" si="8"/>
        <v>0.951</v>
      </c>
      <c r="L41" s="10">
        <f t="shared" si="9"/>
        <v>0.107</v>
      </c>
      <c r="M41" s="10">
        <f t="shared" si="10"/>
        <v>0.03422026016</v>
      </c>
      <c r="N41" s="18">
        <f t="shared" si="11"/>
        <v>3.6</v>
      </c>
      <c r="O41" s="9">
        <f t="shared" si="12"/>
        <v>82</v>
      </c>
      <c r="P41" s="9">
        <f t="shared" si="13"/>
        <v>48.78</v>
      </c>
    </row>
    <row r="42">
      <c r="A42" s="8">
        <v>41.0</v>
      </c>
      <c r="B42" s="15">
        <v>3.055E-4</v>
      </c>
      <c r="C42" s="8">
        <v>0.061</v>
      </c>
      <c r="D42" s="9">
        <f t="shared" si="1"/>
        <v>19.72</v>
      </c>
      <c r="E42" s="16">
        <f t="shared" si="2"/>
        <v>1.03</v>
      </c>
      <c r="F42" s="10">
        <f t="shared" si="3"/>
        <v>2.02107539</v>
      </c>
      <c r="G42" s="11">
        <f t="shared" si="4"/>
        <v>46.26</v>
      </c>
      <c r="H42" s="10">
        <f t="shared" si="5"/>
        <v>24.27</v>
      </c>
      <c r="I42" s="10">
        <f t="shared" si="6"/>
        <v>7.66</v>
      </c>
      <c r="J42" s="12">
        <f t="shared" si="7"/>
        <v>16.559</v>
      </c>
      <c r="K42" s="17">
        <f t="shared" si="8"/>
        <v>0.953</v>
      </c>
      <c r="L42" s="10">
        <f t="shared" si="9"/>
        <v>0.106</v>
      </c>
      <c r="M42" s="10">
        <f t="shared" si="10"/>
        <v>0.03345772836</v>
      </c>
      <c r="N42" s="18">
        <f t="shared" si="11"/>
        <v>3.51</v>
      </c>
      <c r="O42" s="9">
        <f t="shared" si="12"/>
        <v>82</v>
      </c>
      <c r="P42" s="9">
        <f t="shared" si="13"/>
        <v>50</v>
      </c>
    </row>
    <row r="43">
      <c r="A43" s="8">
        <v>42.0</v>
      </c>
      <c r="B43" s="8">
        <v>0.004</v>
      </c>
      <c r="C43" s="8">
        <v>0.268</v>
      </c>
      <c r="D43" s="9">
        <f t="shared" si="1"/>
        <v>71.36</v>
      </c>
      <c r="E43" s="9">
        <f t="shared" si="2"/>
        <v>0.7</v>
      </c>
      <c r="F43" s="10">
        <f t="shared" si="3"/>
        <v>2.01954097</v>
      </c>
      <c r="G43" s="11">
        <f t="shared" si="4"/>
        <v>46.86</v>
      </c>
      <c r="H43" s="10">
        <f t="shared" si="5"/>
        <v>24.283</v>
      </c>
      <c r="I43" s="10">
        <f t="shared" si="6"/>
        <v>7.57</v>
      </c>
      <c r="J43" s="12">
        <f t="shared" si="7"/>
        <v>16.155</v>
      </c>
      <c r="K43" s="17">
        <f t="shared" si="8"/>
        <v>0.947</v>
      </c>
      <c r="L43" s="10">
        <f t="shared" si="9"/>
        <v>0.112</v>
      </c>
      <c r="M43" s="10">
        <f t="shared" si="10"/>
        <v>0.03490165696</v>
      </c>
      <c r="N43" s="18">
        <f t="shared" si="11"/>
        <v>3.69</v>
      </c>
      <c r="O43" s="9">
        <f t="shared" si="12"/>
        <v>82</v>
      </c>
      <c r="P43" s="9">
        <f t="shared" si="13"/>
        <v>51.22</v>
      </c>
    </row>
    <row r="44">
      <c r="A44" s="8">
        <v>43.0</v>
      </c>
      <c r="B44" s="15">
        <v>5.474E-4</v>
      </c>
      <c r="C44" s="8">
        <v>0.085</v>
      </c>
      <c r="D44" s="9">
        <f t="shared" si="1"/>
        <v>26.4</v>
      </c>
      <c r="E44" s="16">
        <f t="shared" si="2"/>
        <v>0.95</v>
      </c>
      <c r="F44" s="10">
        <f t="shared" si="3"/>
        <v>2.018081703</v>
      </c>
      <c r="G44" s="11">
        <f t="shared" si="4"/>
        <v>46.38</v>
      </c>
      <c r="H44" s="10">
        <f t="shared" si="5"/>
        <v>24.194</v>
      </c>
      <c r="I44" s="10">
        <f t="shared" si="6"/>
        <v>7.45</v>
      </c>
      <c r="J44" s="12">
        <f t="shared" si="7"/>
        <v>16.063</v>
      </c>
      <c r="K44" s="17">
        <f t="shared" si="8"/>
        <v>0.947</v>
      </c>
      <c r="L44" s="10">
        <f t="shared" si="9"/>
        <v>0.111</v>
      </c>
      <c r="M44" s="10">
        <f t="shared" si="10"/>
        <v>0.03416075777</v>
      </c>
      <c r="N44" s="18">
        <f t="shared" si="11"/>
        <v>3.61</v>
      </c>
      <c r="O44" s="9">
        <f t="shared" si="12"/>
        <v>82</v>
      </c>
      <c r="P44" s="9">
        <f t="shared" si="13"/>
        <v>52.44</v>
      </c>
    </row>
    <row r="45">
      <c r="A45" s="8">
        <v>44.0</v>
      </c>
      <c r="B45" s="8">
        <v>0.002</v>
      </c>
      <c r="C45" s="8">
        <v>0.178</v>
      </c>
      <c r="D45" s="9">
        <f t="shared" si="1"/>
        <v>50.46</v>
      </c>
      <c r="E45" s="9">
        <f t="shared" si="2"/>
        <v>0.79</v>
      </c>
      <c r="F45" s="10">
        <f t="shared" si="3"/>
        <v>2.016692199</v>
      </c>
      <c r="G45" s="11">
        <f t="shared" si="4"/>
        <v>46.48</v>
      </c>
      <c r="H45" s="10">
        <f t="shared" si="5"/>
        <v>23.919</v>
      </c>
      <c r="I45" s="10">
        <f t="shared" si="6"/>
        <v>7.27</v>
      </c>
      <c r="J45" s="12">
        <f t="shared" si="7"/>
        <v>15.641</v>
      </c>
      <c r="K45" s="17">
        <f t="shared" si="8"/>
        <v>0.943</v>
      </c>
      <c r="L45" s="10">
        <f t="shared" si="9"/>
        <v>0.112</v>
      </c>
      <c r="M45" s="10">
        <f t="shared" si="10"/>
        <v>0.03405111229</v>
      </c>
      <c r="N45" s="18">
        <f t="shared" si="11"/>
        <v>3.61</v>
      </c>
      <c r="O45" s="9">
        <f t="shared" si="12"/>
        <v>82</v>
      </c>
      <c r="P45" s="9">
        <f t="shared" si="13"/>
        <v>53.66</v>
      </c>
    </row>
    <row r="46">
      <c r="A46" s="8">
        <v>45.0</v>
      </c>
      <c r="B46" s="8">
        <v>0.003</v>
      </c>
      <c r="C46" s="8">
        <v>0.189</v>
      </c>
      <c r="D46" s="9">
        <f t="shared" si="1"/>
        <v>61.8</v>
      </c>
      <c r="E46" s="9">
        <f t="shared" si="2"/>
        <v>1.06</v>
      </c>
      <c r="F46" s="10">
        <f t="shared" si="3"/>
        <v>2.015367574</v>
      </c>
      <c r="G46" s="11">
        <f t="shared" si="4"/>
        <v>46.82</v>
      </c>
      <c r="H46" s="10">
        <f t="shared" si="5"/>
        <v>23.756</v>
      </c>
      <c r="I46" s="10">
        <f t="shared" si="6"/>
        <v>7.14</v>
      </c>
      <c r="J46" s="12">
        <f t="shared" si="7"/>
        <v>15.25</v>
      </c>
      <c r="K46" s="17">
        <f t="shared" si="8"/>
        <v>0.946</v>
      </c>
      <c r="L46" s="10">
        <f t="shared" si="9"/>
        <v>0.112</v>
      </c>
      <c r="M46" s="10">
        <f t="shared" si="10"/>
        <v>0.03364852509</v>
      </c>
      <c r="N46" s="18">
        <f t="shared" si="11"/>
        <v>3.56</v>
      </c>
      <c r="O46" s="9">
        <f t="shared" si="12"/>
        <v>82</v>
      </c>
      <c r="P46" s="9">
        <f t="shared" si="13"/>
        <v>54.88</v>
      </c>
    </row>
    <row r="47">
      <c r="A47" s="8">
        <v>46.0</v>
      </c>
      <c r="B47" s="15">
        <v>0.002</v>
      </c>
      <c r="C47" s="8">
        <v>0.177</v>
      </c>
      <c r="D47" s="9">
        <f t="shared" si="1"/>
        <v>50.46</v>
      </c>
      <c r="E47" s="16">
        <f t="shared" si="2"/>
        <v>0.8</v>
      </c>
      <c r="F47" s="10">
        <f t="shared" si="3"/>
        <v>2.014103389</v>
      </c>
      <c r="G47" s="11">
        <f t="shared" si="4"/>
        <v>46.9</v>
      </c>
      <c r="H47" s="10">
        <f t="shared" si="5"/>
        <v>23.496</v>
      </c>
      <c r="I47" s="10">
        <f t="shared" si="6"/>
        <v>6.98</v>
      </c>
      <c r="J47" s="12">
        <f t="shared" si="7"/>
        <v>14.883</v>
      </c>
      <c r="K47" s="17">
        <f t="shared" si="8"/>
        <v>0.943</v>
      </c>
      <c r="L47" s="10">
        <f t="shared" si="9"/>
        <v>0.113</v>
      </c>
      <c r="M47" s="10">
        <f t="shared" si="10"/>
        <v>0.03355685782</v>
      </c>
      <c r="N47" s="18">
        <f t="shared" si="11"/>
        <v>3.56</v>
      </c>
      <c r="O47" s="9">
        <f t="shared" si="12"/>
        <v>82</v>
      </c>
      <c r="P47" s="9">
        <f t="shared" si="13"/>
        <v>56.1</v>
      </c>
    </row>
    <row r="48">
      <c r="A48" s="8">
        <v>47.0</v>
      </c>
      <c r="B48" s="15">
        <v>3.692E-4</v>
      </c>
      <c r="C48" s="8">
        <v>0.069</v>
      </c>
      <c r="D48" s="9">
        <f t="shared" si="1"/>
        <v>21.68</v>
      </c>
      <c r="E48" s="16">
        <f t="shared" si="2"/>
        <v>0.97</v>
      </c>
      <c r="F48" s="10">
        <f t="shared" si="3"/>
        <v>2.012895599</v>
      </c>
      <c r="G48" s="11">
        <f t="shared" si="4"/>
        <v>46.36</v>
      </c>
      <c r="H48" s="10">
        <f t="shared" si="5"/>
        <v>23.529</v>
      </c>
      <c r="I48" s="10">
        <f t="shared" si="6"/>
        <v>6.91</v>
      </c>
      <c r="J48" s="12">
        <f t="shared" si="7"/>
        <v>14.905</v>
      </c>
      <c r="K48" s="17">
        <f t="shared" si="8"/>
        <v>0.943</v>
      </c>
      <c r="L48" s="10">
        <f t="shared" si="9"/>
        <v>0.112</v>
      </c>
      <c r="M48" s="10">
        <f t="shared" si="10"/>
        <v>0.03288443194</v>
      </c>
      <c r="N48" s="18">
        <f t="shared" si="11"/>
        <v>3.49</v>
      </c>
      <c r="O48" s="9">
        <f t="shared" si="12"/>
        <v>82</v>
      </c>
      <c r="P48" s="9">
        <f t="shared" si="13"/>
        <v>57.32</v>
      </c>
    </row>
    <row r="49">
      <c r="A49" s="8">
        <v>48.0</v>
      </c>
      <c r="B49" s="8">
        <v>0.001</v>
      </c>
      <c r="C49" s="8">
        <v>0.13</v>
      </c>
      <c r="D49" s="9">
        <f t="shared" si="1"/>
        <v>35.68</v>
      </c>
      <c r="E49" s="9">
        <f t="shared" si="2"/>
        <v>0.74</v>
      </c>
      <c r="F49" s="10">
        <f t="shared" si="3"/>
        <v>2.011740514</v>
      </c>
      <c r="G49" s="11">
        <f t="shared" si="4"/>
        <v>46.14</v>
      </c>
      <c r="H49" s="10">
        <f t="shared" si="5"/>
        <v>23.328</v>
      </c>
      <c r="I49" s="10">
        <f t="shared" si="6"/>
        <v>6.77</v>
      </c>
      <c r="J49" s="12">
        <f t="shared" si="7"/>
        <v>14.673</v>
      </c>
      <c r="K49" s="17">
        <f t="shared" si="8"/>
        <v>0.939</v>
      </c>
      <c r="L49" s="10">
        <f t="shared" si="9"/>
        <v>0.114</v>
      </c>
      <c r="M49" s="10">
        <f t="shared" si="10"/>
        <v>0.03310214942</v>
      </c>
      <c r="N49" s="18">
        <f t="shared" si="11"/>
        <v>3.53</v>
      </c>
      <c r="O49" s="9">
        <f t="shared" si="12"/>
        <v>82</v>
      </c>
      <c r="P49" s="9">
        <f t="shared" si="13"/>
        <v>58.54</v>
      </c>
    </row>
    <row r="50">
      <c r="A50" s="8">
        <v>49.0</v>
      </c>
      <c r="B50" s="8">
        <v>0.002</v>
      </c>
      <c r="C50" s="8">
        <v>0.175</v>
      </c>
      <c r="D50" s="9">
        <f t="shared" si="1"/>
        <v>50.46</v>
      </c>
      <c r="E50" s="9">
        <f t="shared" si="2"/>
        <v>0.82</v>
      </c>
      <c r="F50" s="10">
        <f t="shared" si="3"/>
        <v>2.010634758</v>
      </c>
      <c r="G50" s="11">
        <f t="shared" si="4"/>
        <v>46.23</v>
      </c>
      <c r="H50" s="10">
        <f t="shared" si="5"/>
        <v>23.092</v>
      </c>
      <c r="I50" s="10">
        <f t="shared" si="6"/>
        <v>6.63</v>
      </c>
      <c r="J50" s="12">
        <f t="shared" si="7"/>
        <v>14.341</v>
      </c>
      <c r="K50" s="17">
        <f t="shared" si="8"/>
        <v>0.937</v>
      </c>
      <c r="L50" s="10">
        <f t="shared" si="9"/>
        <v>0.115</v>
      </c>
      <c r="M50" s="10">
        <f t="shared" si="10"/>
        <v>0.03303185673</v>
      </c>
      <c r="N50" s="18">
        <f t="shared" si="11"/>
        <v>3.53</v>
      </c>
      <c r="O50" s="9">
        <f t="shared" si="12"/>
        <v>82</v>
      </c>
      <c r="P50" s="9">
        <f t="shared" si="13"/>
        <v>59.76</v>
      </c>
    </row>
    <row r="51">
      <c r="A51" s="8">
        <v>50.0</v>
      </c>
      <c r="B51" s="8">
        <v>0.009</v>
      </c>
      <c r="C51" s="8">
        <v>0.395</v>
      </c>
      <c r="D51" s="9">
        <f t="shared" si="1"/>
        <v>107.05</v>
      </c>
      <c r="E51" s="9">
        <f t="shared" si="2"/>
        <v>0.72</v>
      </c>
      <c r="F51" s="10">
        <f t="shared" si="3"/>
        <v>2.009575237</v>
      </c>
      <c r="G51" s="11">
        <f t="shared" si="4"/>
        <v>47.44</v>
      </c>
      <c r="H51" s="10">
        <f t="shared" si="5"/>
        <v>24.42</v>
      </c>
      <c r="I51" s="10">
        <f t="shared" si="6"/>
        <v>6.94</v>
      </c>
      <c r="J51" s="12">
        <f t="shared" si="7"/>
        <v>14.629</v>
      </c>
      <c r="K51" s="17">
        <f t="shared" si="8"/>
        <v>0.932</v>
      </c>
      <c r="L51" s="10">
        <f t="shared" si="9"/>
        <v>0.117</v>
      </c>
      <c r="M51" s="10">
        <f t="shared" si="10"/>
        <v>0.03325103209</v>
      </c>
      <c r="N51" s="18">
        <f t="shared" si="11"/>
        <v>3.57</v>
      </c>
      <c r="O51" s="9">
        <f t="shared" si="12"/>
        <v>82</v>
      </c>
      <c r="P51" s="9">
        <f t="shared" si="13"/>
        <v>60.98</v>
      </c>
    </row>
    <row r="52">
      <c r="A52" s="8">
        <v>51.0</v>
      </c>
      <c r="B52" s="15">
        <v>0.003</v>
      </c>
      <c r="C52" s="8">
        <v>0.199</v>
      </c>
      <c r="D52" s="9">
        <f t="shared" si="1"/>
        <v>61.8</v>
      </c>
      <c r="E52" s="16">
        <f t="shared" si="2"/>
        <v>0.95</v>
      </c>
      <c r="F52" s="10">
        <f t="shared" si="3"/>
        <v>2.008559112</v>
      </c>
      <c r="G52" s="11">
        <f t="shared" si="4"/>
        <v>47.72</v>
      </c>
      <c r="H52" s="10">
        <f t="shared" si="5"/>
        <v>24.258</v>
      </c>
      <c r="I52" s="10">
        <f t="shared" si="6"/>
        <v>6.82</v>
      </c>
      <c r="J52" s="12">
        <f t="shared" si="7"/>
        <v>14.292</v>
      </c>
      <c r="K52" s="17">
        <f t="shared" si="8"/>
        <v>0.933</v>
      </c>
      <c r="L52" s="10">
        <f t="shared" si="9"/>
        <v>0.116</v>
      </c>
      <c r="M52" s="10">
        <f t="shared" si="10"/>
        <v>0.03262552574</v>
      </c>
      <c r="N52" s="18">
        <f t="shared" si="11"/>
        <v>3.5</v>
      </c>
      <c r="O52" s="9">
        <f t="shared" si="12"/>
        <v>82</v>
      </c>
      <c r="P52" s="9">
        <f t="shared" si="13"/>
        <v>62.2</v>
      </c>
    </row>
    <row r="53">
      <c r="A53" s="8">
        <v>52.0</v>
      </c>
      <c r="B53" s="8">
        <v>0.001</v>
      </c>
      <c r="C53" s="8">
        <v>0.131</v>
      </c>
      <c r="D53" s="9">
        <f t="shared" si="1"/>
        <v>35.68</v>
      </c>
      <c r="E53" s="9">
        <f t="shared" si="2"/>
        <v>0.73</v>
      </c>
      <c r="F53" s="10">
        <f t="shared" si="3"/>
        <v>2.00758377</v>
      </c>
      <c r="G53" s="11">
        <f t="shared" si="4"/>
        <v>47.49</v>
      </c>
      <c r="H53" s="10">
        <f t="shared" si="5"/>
        <v>24.077</v>
      </c>
      <c r="I53" s="10">
        <f t="shared" si="6"/>
        <v>6.7</v>
      </c>
      <c r="J53" s="12">
        <f t="shared" si="7"/>
        <v>14.108</v>
      </c>
      <c r="K53" s="17">
        <f t="shared" si="8"/>
        <v>0.929</v>
      </c>
      <c r="L53" s="10">
        <f t="shared" si="9"/>
        <v>0.118</v>
      </c>
      <c r="M53" s="10">
        <f t="shared" si="10"/>
        <v>0.03285140978</v>
      </c>
      <c r="N53" s="18">
        <f t="shared" si="11"/>
        <v>3.54</v>
      </c>
      <c r="O53" s="9">
        <f t="shared" si="12"/>
        <v>82</v>
      </c>
      <c r="P53" s="9">
        <f t="shared" si="13"/>
        <v>63.41</v>
      </c>
    </row>
    <row r="54">
      <c r="A54" s="8">
        <v>53.0</v>
      </c>
      <c r="B54" s="15">
        <v>3.819E-4</v>
      </c>
      <c r="C54" s="8">
        <v>0.072</v>
      </c>
      <c r="D54" s="9">
        <f t="shared" si="1"/>
        <v>22.05</v>
      </c>
      <c r="E54" s="16">
        <f t="shared" si="2"/>
        <v>0.93</v>
      </c>
      <c r="F54" s="10">
        <f t="shared" si="3"/>
        <v>2.006646805</v>
      </c>
      <c r="G54" s="11">
        <f t="shared" si="4"/>
        <v>47.01</v>
      </c>
      <c r="H54" s="10">
        <f t="shared" si="5"/>
        <v>24.1</v>
      </c>
      <c r="I54" s="10">
        <f t="shared" si="6"/>
        <v>6.64</v>
      </c>
      <c r="J54" s="12">
        <f t="shared" si="7"/>
        <v>14.125</v>
      </c>
      <c r="K54" s="17">
        <f t="shared" si="8"/>
        <v>0.929</v>
      </c>
      <c r="L54" s="10">
        <f t="shared" si="9"/>
        <v>0.117</v>
      </c>
      <c r="M54" s="10">
        <f t="shared" si="10"/>
        <v>0.032249194</v>
      </c>
      <c r="N54" s="18">
        <f t="shared" si="11"/>
        <v>3.47</v>
      </c>
      <c r="O54" s="9">
        <f t="shared" si="12"/>
        <v>82</v>
      </c>
      <c r="P54" s="9">
        <f t="shared" si="13"/>
        <v>64.63</v>
      </c>
    </row>
    <row r="55">
      <c r="A55" s="8">
        <v>54.0</v>
      </c>
      <c r="B55" s="8">
        <v>0.003</v>
      </c>
      <c r="C55" s="8">
        <v>0.196</v>
      </c>
      <c r="D55" s="9">
        <f t="shared" si="1"/>
        <v>61.8</v>
      </c>
      <c r="E55" s="9">
        <f t="shared" si="2"/>
        <v>0.98</v>
      </c>
      <c r="F55" s="10">
        <f t="shared" si="3"/>
        <v>2.005745995</v>
      </c>
      <c r="G55" s="11">
        <f t="shared" si="4"/>
        <v>47.29</v>
      </c>
      <c r="H55" s="10">
        <f t="shared" si="5"/>
        <v>23.956</v>
      </c>
      <c r="I55" s="10">
        <f t="shared" si="6"/>
        <v>6.54</v>
      </c>
      <c r="J55" s="12">
        <f t="shared" si="7"/>
        <v>13.83</v>
      </c>
      <c r="K55" s="17">
        <f t="shared" si="8"/>
        <v>0.93</v>
      </c>
      <c r="L55" s="10">
        <f t="shared" si="9"/>
        <v>0.116</v>
      </c>
      <c r="M55" s="10">
        <f t="shared" si="10"/>
        <v>0.03166190512</v>
      </c>
      <c r="N55" s="18">
        <f t="shared" si="11"/>
        <v>3.4</v>
      </c>
      <c r="O55" s="9">
        <f t="shared" si="12"/>
        <v>82</v>
      </c>
      <c r="P55" s="9">
        <f t="shared" si="13"/>
        <v>65.85</v>
      </c>
    </row>
    <row r="56">
      <c r="A56" s="8">
        <v>55.0</v>
      </c>
      <c r="B56" s="15">
        <v>0.004</v>
      </c>
      <c r="C56" s="8">
        <v>0.222</v>
      </c>
      <c r="D56" s="9">
        <f t="shared" si="1"/>
        <v>71.36</v>
      </c>
      <c r="E56" s="16">
        <f t="shared" si="2"/>
        <v>1.02</v>
      </c>
      <c r="F56" s="10">
        <f t="shared" si="3"/>
        <v>2.004879288</v>
      </c>
      <c r="G56" s="11">
        <f t="shared" si="4"/>
        <v>47.72</v>
      </c>
      <c r="H56" s="10">
        <f t="shared" si="5"/>
        <v>23.954</v>
      </c>
      <c r="I56" s="10">
        <f t="shared" si="6"/>
        <v>6.48</v>
      </c>
      <c r="J56" s="12">
        <f t="shared" si="7"/>
        <v>13.579</v>
      </c>
      <c r="K56" s="17">
        <f t="shared" si="8"/>
        <v>0.931</v>
      </c>
      <c r="L56" s="10">
        <f t="shared" si="9"/>
        <v>0.116</v>
      </c>
      <c r="M56" s="10">
        <f t="shared" si="10"/>
        <v>0.0313591927</v>
      </c>
      <c r="N56" s="18">
        <f t="shared" si="11"/>
        <v>3.37</v>
      </c>
      <c r="O56" s="9">
        <f t="shared" si="12"/>
        <v>82</v>
      </c>
      <c r="P56" s="9">
        <f t="shared" si="13"/>
        <v>67.07</v>
      </c>
    </row>
    <row r="57">
      <c r="A57" s="8">
        <v>56.0</v>
      </c>
      <c r="B57" s="15">
        <v>6.748E-4</v>
      </c>
      <c r="C57" s="8">
        <v>0.093</v>
      </c>
      <c r="D57" s="9">
        <f t="shared" si="1"/>
        <v>29.31</v>
      </c>
      <c r="E57" s="16">
        <f t="shared" si="2"/>
        <v>0.98</v>
      </c>
      <c r="F57" s="10">
        <f t="shared" si="3"/>
        <v>2.004044783</v>
      </c>
      <c r="G57" s="11">
        <f t="shared" si="4"/>
        <v>47.39</v>
      </c>
      <c r="H57" s="10">
        <f t="shared" si="5"/>
        <v>23.862</v>
      </c>
      <c r="I57" s="10">
        <f t="shared" si="6"/>
        <v>6.39</v>
      </c>
      <c r="J57" s="12">
        <f t="shared" si="7"/>
        <v>13.484</v>
      </c>
      <c r="K57" s="17">
        <f t="shared" si="8"/>
        <v>0.932</v>
      </c>
      <c r="L57" s="10">
        <f t="shared" si="9"/>
        <v>0.115</v>
      </c>
      <c r="M57" s="10">
        <f t="shared" si="10"/>
        <v>0.03079720111</v>
      </c>
      <c r="N57" s="18">
        <f t="shared" si="11"/>
        <v>3.3</v>
      </c>
      <c r="O57" s="9">
        <f t="shared" si="12"/>
        <v>82</v>
      </c>
      <c r="P57" s="9">
        <f t="shared" si="13"/>
        <v>68.29</v>
      </c>
    </row>
    <row r="58">
      <c r="A58" s="8">
        <v>57.0</v>
      </c>
      <c r="B58" s="8">
        <v>0.003</v>
      </c>
      <c r="C58" s="8">
        <v>0.201</v>
      </c>
      <c r="D58" s="9">
        <f t="shared" si="1"/>
        <v>61.8</v>
      </c>
      <c r="E58" s="9">
        <f t="shared" si="2"/>
        <v>0.93</v>
      </c>
      <c r="F58" s="10">
        <f t="shared" si="3"/>
        <v>2.003240719</v>
      </c>
      <c r="G58" s="11">
        <f t="shared" si="4"/>
        <v>47.65</v>
      </c>
      <c r="H58" s="10">
        <f t="shared" si="5"/>
        <v>23.725</v>
      </c>
      <c r="I58" s="10">
        <f t="shared" si="6"/>
        <v>6.3</v>
      </c>
      <c r="J58" s="12">
        <f t="shared" si="7"/>
        <v>13.221</v>
      </c>
      <c r="K58" s="17">
        <f t="shared" si="8"/>
        <v>0.932</v>
      </c>
      <c r="L58" s="10">
        <f t="shared" si="9"/>
        <v>0.114</v>
      </c>
      <c r="M58" s="10">
        <f t="shared" si="10"/>
        <v>0.03024827152</v>
      </c>
      <c r="N58" s="18">
        <f t="shared" si="11"/>
        <v>3.25</v>
      </c>
      <c r="O58" s="9">
        <f t="shared" si="12"/>
        <v>82</v>
      </c>
      <c r="P58" s="9">
        <f t="shared" si="13"/>
        <v>69.51</v>
      </c>
    </row>
    <row r="59">
      <c r="A59" s="8">
        <v>58.0</v>
      </c>
      <c r="B59" s="8">
        <v>0.005</v>
      </c>
      <c r="C59" s="8">
        <v>0.247</v>
      </c>
      <c r="D59" s="9">
        <f t="shared" si="1"/>
        <v>79.79</v>
      </c>
      <c r="E59" s="9">
        <f t="shared" si="2"/>
        <v>1.03</v>
      </c>
      <c r="F59" s="10">
        <f t="shared" si="3"/>
        <v>2.002465459</v>
      </c>
      <c r="G59" s="11">
        <f t="shared" si="4"/>
        <v>48.2</v>
      </c>
      <c r="H59" s="10">
        <f t="shared" si="5"/>
        <v>23.892</v>
      </c>
      <c r="I59" s="10">
        <f t="shared" si="6"/>
        <v>6.28</v>
      </c>
      <c r="J59" s="12">
        <f t="shared" si="7"/>
        <v>13.029</v>
      </c>
      <c r="K59" s="17">
        <f t="shared" si="8"/>
        <v>0.934</v>
      </c>
      <c r="L59" s="10">
        <f t="shared" si="9"/>
        <v>0.114</v>
      </c>
      <c r="M59" s="10">
        <f t="shared" si="10"/>
        <v>0.02997477199</v>
      </c>
      <c r="N59" s="18">
        <f t="shared" si="11"/>
        <v>3.21</v>
      </c>
      <c r="O59" s="9">
        <f t="shared" si="12"/>
        <v>82</v>
      </c>
      <c r="P59" s="9">
        <f t="shared" si="13"/>
        <v>70.73</v>
      </c>
    </row>
    <row r="60">
      <c r="A60" s="8">
        <v>59.0</v>
      </c>
      <c r="B60" s="8">
        <v>0.005</v>
      </c>
      <c r="C60" s="8">
        <v>0.25</v>
      </c>
      <c r="D60" s="9">
        <f t="shared" si="1"/>
        <v>79.79</v>
      </c>
      <c r="E60" s="9">
        <f t="shared" si="2"/>
        <v>1.01</v>
      </c>
      <c r="F60" s="10">
        <f t="shared" si="3"/>
        <v>2.001717484</v>
      </c>
      <c r="G60" s="11">
        <f t="shared" si="4"/>
        <v>48.74</v>
      </c>
      <c r="H60" s="10">
        <f t="shared" si="5"/>
        <v>24.039</v>
      </c>
      <c r="I60" s="10">
        <f t="shared" si="6"/>
        <v>6.26</v>
      </c>
      <c r="J60" s="12">
        <f t="shared" si="7"/>
        <v>12.844</v>
      </c>
      <c r="K60" s="17">
        <f t="shared" si="8"/>
        <v>0.935</v>
      </c>
      <c r="L60" s="10">
        <f t="shared" si="9"/>
        <v>0.113</v>
      </c>
      <c r="M60" s="10">
        <f t="shared" si="10"/>
        <v>0.02944796039</v>
      </c>
      <c r="N60" s="18">
        <f t="shared" si="11"/>
        <v>3.15</v>
      </c>
      <c r="O60" s="9">
        <f t="shared" si="12"/>
        <v>82</v>
      </c>
      <c r="P60" s="9">
        <f t="shared" si="13"/>
        <v>71.95</v>
      </c>
    </row>
    <row r="61">
      <c r="A61" s="8">
        <v>60.0</v>
      </c>
      <c r="B61" s="15">
        <v>9.039E-4</v>
      </c>
      <c r="C61" s="8">
        <v>0.111</v>
      </c>
      <c r="D61" s="9">
        <f t="shared" si="1"/>
        <v>33.92</v>
      </c>
      <c r="E61" s="16">
        <f t="shared" si="2"/>
        <v>0.92</v>
      </c>
      <c r="F61" s="10">
        <f t="shared" si="3"/>
        <v>2.000995378</v>
      </c>
      <c r="G61" s="11">
        <f t="shared" si="4"/>
        <v>48.49</v>
      </c>
      <c r="H61" s="10">
        <f t="shared" si="5"/>
        <v>23.911</v>
      </c>
      <c r="I61" s="10">
        <f t="shared" si="6"/>
        <v>6.18</v>
      </c>
      <c r="J61" s="12">
        <f t="shared" si="7"/>
        <v>12.745</v>
      </c>
      <c r="K61" s="17">
        <f t="shared" si="8"/>
        <v>0.935</v>
      </c>
      <c r="L61" s="10">
        <f t="shared" si="9"/>
        <v>0.112</v>
      </c>
      <c r="M61" s="10">
        <f t="shared" si="10"/>
        <v>0.02893266796</v>
      </c>
      <c r="N61" s="18">
        <f t="shared" si="11"/>
        <v>3.09</v>
      </c>
      <c r="O61" s="9">
        <f t="shared" si="12"/>
        <v>82</v>
      </c>
      <c r="P61" s="9">
        <f t="shared" si="13"/>
        <v>73.17</v>
      </c>
    </row>
    <row r="62">
      <c r="A62" s="8">
        <v>61.0</v>
      </c>
      <c r="B62" s="15">
        <v>8.403E-4</v>
      </c>
      <c r="C62" s="8">
        <v>0.104</v>
      </c>
      <c r="D62" s="9">
        <f t="shared" si="1"/>
        <v>32.71</v>
      </c>
      <c r="E62" s="16">
        <f t="shared" si="2"/>
        <v>0.98</v>
      </c>
      <c r="F62" s="10">
        <f t="shared" si="3"/>
        <v>2.000297822</v>
      </c>
      <c r="G62" s="11">
        <f t="shared" si="4"/>
        <v>48.23</v>
      </c>
      <c r="H62" s="10">
        <f t="shared" si="5"/>
        <v>23.797</v>
      </c>
      <c r="I62" s="10">
        <f t="shared" si="6"/>
        <v>6.09</v>
      </c>
      <c r="J62" s="12">
        <f t="shared" si="7"/>
        <v>12.627</v>
      </c>
      <c r="K62" s="17">
        <f t="shared" si="8"/>
        <v>0.936</v>
      </c>
      <c r="L62" s="10">
        <f t="shared" si="9"/>
        <v>0.112</v>
      </c>
      <c r="M62" s="10">
        <f t="shared" si="10"/>
        <v>0.02868453191</v>
      </c>
      <c r="N62" s="18">
        <f t="shared" si="11"/>
        <v>3.06</v>
      </c>
      <c r="O62" s="9">
        <f t="shared" si="12"/>
        <v>82</v>
      </c>
      <c r="P62" s="9">
        <f t="shared" si="13"/>
        <v>74.39</v>
      </c>
    </row>
    <row r="63">
      <c r="A63" s="8">
        <v>62.0</v>
      </c>
      <c r="B63" s="15">
        <v>0.002</v>
      </c>
      <c r="C63" s="8">
        <v>0.158</v>
      </c>
      <c r="D63" s="9">
        <f t="shared" si="1"/>
        <v>50.46</v>
      </c>
      <c r="E63" s="16">
        <f t="shared" si="2"/>
        <v>1.01</v>
      </c>
      <c r="F63" s="10">
        <f t="shared" si="3"/>
        <v>1.999623585</v>
      </c>
      <c r="G63" s="11">
        <f t="shared" si="4"/>
        <v>48.27</v>
      </c>
      <c r="H63" s="10">
        <f t="shared" si="5"/>
        <v>23.603</v>
      </c>
      <c r="I63" s="10">
        <f t="shared" si="6"/>
        <v>5.99</v>
      </c>
      <c r="J63" s="12">
        <f t="shared" si="7"/>
        <v>12.409</v>
      </c>
      <c r="K63" s="17">
        <f t="shared" si="8"/>
        <v>0.937</v>
      </c>
      <c r="L63" s="10">
        <f t="shared" si="9"/>
        <v>0.111</v>
      </c>
      <c r="M63" s="10">
        <f t="shared" si="10"/>
        <v>0.02818872187</v>
      </c>
      <c r="N63" s="18">
        <f t="shared" si="11"/>
        <v>3.01</v>
      </c>
      <c r="O63" s="9">
        <f t="shared" si="12"/>
        <v>82</v>
      </c>
      <c r="P63" s="9">
        <f t="shared" si="13"/>
        <v>75.61</v>
      </c>
    </row>
    <row r="64">
      <c r="A64" s="8">
        <v>63.0</v>
      </c>
      <c r="B64" s="15">
        <v>0.002</v>
      </c>
      <c r="C64" s="8">
        <v>0.142</v>
      </c>
      <c r="D64" s="9">
        <f t="shared" si="1"/>
        <v>50.46</v>
      </c>
      <c r="E64" s="16">
        <f t="shared" si="2"/>
        <v>1.25</v>
      </c>
      <c r="F64" s="10">
        <f t="shared" si="3"/>
        <v>1.998971517</v>
      </c>
      <c r="G64" s="11">
        <f t="shared" si="4"/>
        <v>48.3</v>
      </c>
      <c r="H64" s="10">
        <f t="shared" si="5"/>
        <v>23.414</v>
      </c>
      <c r="I64" s="10">
        <f t="shared" si="6"/>
        <v>5.9</v>
      </c>
      <c r="J64" s="12">
        <f t="shared" si="7"/>
        <v>12.215</v>
      </c>
      <c r="K64" s="17">
        <f t="shared" si="8"/>
        <v>0.942</v>
      </c>
      <c r="L64" s="10">
        <f t="shared" si="9"/>
        <v>0.117</v>
      </c>
      <c r="M64" s="10">
        <f t="shared" si="10"/>
        <v>0.02946606842</v>
      </c>
      <c r="N64" s="18">
        <f t="shared" si="11"/>
        <v>3.13</v>
      </c>
      <c r="O64" s="9">
        <f t="shared" si="12"/>
        <v>82</v>
      </c>
      <c r="P64" s="9">
        <f t="shared" si="13"/>
        <v>76.83</v>
      </c>
    </row>
    <row r="65">
      <c r="A65" s="8">
        <v>64.0</v>
      </c>
      <c r="B65" s="15">
        <v>0.003</v>
      </c>
      <c r="C65" s="8">
        <v>0.203</v>
      </c>
      <c r="D65" s="9">
        <f t="shared" si="1"/>
        <v>61.8</v>
      </c>
      <c r="E65" s="16">
        <f t="shared" si="2"/>
        <v>0.91</v>
      </c>
      <c r="F65" s="10">
        <f t="shared" si="3"/>
        <v>1.998340543</v>
      </c>
      <c r="G65" s="11">
        <f t="shared" si="4"/>
        <v>48.51</v>
      </c>
      <c r="H65" s="10">
        <f t="shared" si="5"/>
        <v>23.288</v>
      </c>
      <c r="I65" s="10">
        <f t="shared" si="6"/>
        <v>5.82</v>
      </c>
      <c r="J65" s="12">
        <f t="shared" si="7"/>
        <v>11.998</v>
      </c>
      <c r="K65" s="17">
        <f t="shared" si="8"/>
        <v>0.941</v>
      </c>
      <c r="L65" s="10">
        <f t="shared" si="9"/>
        <v>0.116</v>
      </c>
      <c r="M65" s="10">
        <f t="shared" si="10"/>
        <v>0.02897593787</v>
      </c>
      <c r="N65" s="18">
        <f t="shared" si="11"/>
        <v>3.08</v>
      </c>
      <c r="O65" s="9">
        <f t="shared" si="12"/>
        <v>82</v>
      </c>
      <c r="P65" s="9">
        <f t="shared" si="13"/>
        <v>78.05</v>
      </c>
    </row>
    <row r="66">
      <c r="A66" s="8">
        <v>65.0</v>
      </c>
      <c r="B66" s="15">
        <v>4.965E-4</v>
      </c>
      <c r="C66" s="8">
        <v>0.08</v>
      </c>
      <c r="D66" s="9">
        <f t="shared" si="1"/>
        <v>25.14</v>
      </c>
      <c r="E66" s="16">
        <f t="shared" si="2"/>
        <v>0.97</v>
      </c>
      <c r="F66" s="10">
        <f t="shared" si="3"/>
        <v>1.997729654</v>
      </c>
      <c r="G66" s="11">
        <f t="shared" si="4"/>
        <v>48.15</v>
      </c>
      <c r="H66" s="10">
        <f t="shared" si="5"/>
        <v>23.287</v>
      </c>
      <c r="I66" s="10">
        <f t="shared" si="6"/>
        <v>5.77</v>
      </c>
      <c r="J66" s="12">
        <f t="shared" si="7"/>
        <v>11.983</v>
      </c>
      <c r="K66" s="17">
        <f t="shared" si="8"/>
        <v>0.942</v>
      </c>
      <c r="L66" s="10">
        <f t="shared" si="9"/>
        <v>0.115</v>
      </c>
      <c r="M66" s="10">
        <f t="shared" si="10"/>
        <v>0.02849560476</v>
      </c>
      <c r="N66" s="18">
        <f t="shared" si="11"/>
        <v>3.03</v>
      </c>
      <c r="O66" s="9">
        <f t="shared" si="12"/>
        <v>82</v>
      </c>
      <c r="P66" s="9">
        <f t="shared" si="13"/>
        <v>79.27</v>
      </c>
    </row>
    <row r="67">
      <c r="A67" s="8">
        <v>66.0</v>
      </c>
      <c r="B67" s="15">
        <v>0.002</v>
      </c>
      <c r="C67" s="8">
        <v>0.165</v>
      </c>
      <c r="D67" s="9">
        <f t="shared" si="1"/>
        <v>50.46</v>
      </c>
      <c r="E67" s="16">
        <f t="shared" si="2"/>
        <v>0.92</v>
      </c>
      <c r="F67" s="10">
        <f t="shared" si="3"/>
        <v>1.997137908</v>
      </c>
      <c r="G67" s="11">
        <f t="shared" si="4"/>
        <v>48.19</v>
      </c>
      <c r="H67" s="10">
        <f t="shared" si="5"/>
        <v>23.109</v>
      </c>
      <c r="I67" s="10">
        <f t="shared" si="6"/>
        <v>5.68</v>
      </c>
      <c r="J67" s="12">
        <f t="shared" si="7"/>
        <v>11.787</v>
      </c>
      <c r="K67" s="17">
        <f t="shared" si="8"/>
        <v>0.942</v>
      </c>
      <c r="L67" s="10">
        <f t="shared" si="9"/>
        <v>0.114</v>
      </c>
      <c r="M67" s="10">
        <f t="shared" si="10"/>
        <v>0.02802469784</v>
      </c>
      <c r="N67" s="18">
        <f t="shared" si="11"/>
        <v>2.98</v>
      </c>
      <c r="O67" s="9">
        <f t="shared" si="12"/>
        <v>82</v>
      </c>
      <c r="P67" s="9">
        <f t="shared" si="13"/>
        <v>80.49</v>
      </c>
    </row>
    <row r="68">
      <c r="A68" s="8">
        <v>67.0</v>
      </c>
      <c r="B68" s="8">
        <v>0.001</v>
      </c>
      <c r="C68" s="8">
        <v>0.116</v>
      </c>
      <c r="D68" s="9">
        <f t="shared" si="1"/>
        <v>35.68</v>
      </c>
      <c r="E68" s="9">
        <f t="shared" si="2"/>
        <v>0.93</v>
      </c>
      <c r="F68" s="10">
        <f t="shared" si="3"/>
        <v>1.996564419</v>
      </c>
      <c r="G68" s="11">
        <f t="shared" si="4"/>
        <v>48</v>
      </c>
      <c r="H68" s="10">
        <f t="shared" si="5"/>
        <v>22.984</v>
      </c>
      <c r="I68" s="10">
        <f t="shared" si="6"/>
        <v>5.61</v>
      </c>
      <c r="J68" s="12">
        <f t="shared" si="7"/>
        <v>11.688</v>
      </c>
      <c r="K68" s="17">
        <f t="shared" si="8"/>
        <v>0.941</v>
      </c>
      <c r="L68" s="10">
        <f t="shared" si="9"/>
        <v>0.114</v>
      </c>
      <c r="M68" s="10">
        <f t="shared" si="10"/>
        <v>0.02780678489</v>
      </c>
      <c r="N68" s="18">
        <f t="shared" si="11"/>
        <v>2.96</v>
      </c>
      <c r="O68" s="9">
        <f t="shared" si="12"/>
        <v>82</v>
      </c>
      <c r="P68" s="9">
        <f t="shared" si="13"/>
        <v>81.71</v>
      </c>
    </row>
    <row r="69">
      <c r="A69" s="8">
        <v>68.0</v>
      </c>
      <c r="B69" s="15">
        <v>9.676E-4</v>
      </c>
      <c r="C69" s="8">
        <v>0.113</v>
      </c>
      <c r="D69" s="9">
        <f t="shared" si="1"/>
        <v>35.1</v>
      </c>
      <c r="E69" s="16">
        <f t="shared" si="2"/>
        <v>0.95</v>
      </c>
      <c r="F69" s="10">
        <f t="shared" si="3"/>
        <v>1.996008354</v>
      </c>
      <c r="G69" s="11">
        <f t="shared" si="4"/>
        <v>47.81</v>
      </c>
      <c r="H69" s="10">
        <f t="shared" si="5"/>
        <v>22.865</v>
      </c>
      <c r="I69" s="10">
        <f t="shared" si="6"/>
        <v>5.53</v>
      </c>
      <c r="J69" s="12">
        <f t="shared" si="7"/>
        <v>11.567</v>
      </c>
      <c r="K69" s="17">
        <f t="shared" si="8"/>
        <v>0.941</v>
      </c>
      <c r="L69" s="10">
        <f t="shared" si="9"/>
        <v>0.113</v>
      </c>
      <c r="M69" s="10">
        <f t="shared" si="10"/>
        <v>0.02735182706</v>
      </c>
      <c r="N69" s="18">
        <f t="shared" si="11"/>
        <v>2.91</v>
      </c>
      <c r="O69" s="9">
        <f t="shared" si="12"/>
        <v>82</v>
      </c>
      <c r="P69" s="9">
        <f t="shared" si="13"/>
        <v>82.93</v>
      </c>
    </row>
    <row r="70">
      <c r="A70" s="8">
        <v>69.0</v>
      </c>
      <c r="B70" s="15">
        <v>3.947E-4</v>
      </c>
      <c r="C70" s="8">
        <v>0.072</v>
      </c>
      <c r="D70" s="9">
        <f t="shared" si="1"/>
        <v>22.42</v>
      </c>
      <c r="E70" s="16">
        <f t="shared" si="2"/>
        <v>0.96</v>
      </c>
      <c r="F70" s="10">
        <f t="shared" si="3"/>
        <v>1.995468931</v>
      </c>
      <c r="G70" s="11">
        <f t="shared" si="4"/>
        <v>47.44</v>
      </c>
      <c r="H70" s="10">
        <f t="shared" si="5"/>
        <v>22.901</v>
      </c>
      <c r="I70" s="10">
        <f t="shared" si="6"/>
        <v>5.5</v>
      </c>
      <c r="J70" s="12">
        <f t="shared" si="7"/>
        <v>11.594</v>
      </c>
      <c r="K70" s="17">
        <f t="shared" si="8"/>
        <v>0.942</v>
      </c>
      <c r="L70" s="10">
        <f t="shared" si="9"/>
        <v>0.112</v>
      </c>
      <c r="M70" s="10">
        <f t="shared" si="10"/>
        <v>0.02690533772</v>
      </c>
      <c r="N70" s="18">
        <f t="shared" si="11"/>
        <v>2.86</v>
      </c>
      <c r="O70" s="9">
        <f t="shared" si="12"/>
        <v>82</v>
      </c>
      <c r="P70" s="9">
        <f t="shared" si="13"/>
        <v>84.15</v>
      </c>
    </row>
    <row r="71">
      <c r="A71" s="8">
        <v>70.0</v>
      </c>
      <c r="B71" s="15">
        <v>6.302E-4</v>
      </c>
      <c r="C71" s="8">
        <v>0.09</v>
      </c>
      <c r="D71" s="9">
        <f t="shared" si="1"/>
        <v>28.33</v>
      </c>
      <c r="E71" s="16">
        <f t="shared" si="2"/>
        <v>0.98</v>
      </c>
      <c r="F71" s="10">
        <f t="shared" si="3"/>
        <v>1.994945415</v>
      </c>
      <c r="G71" s="11">
        <f t="shared" si="4"/>
        <v>47.17</v>
      </c>
      <c r="H71" s="10">
        <f t="shared" si="5"/>
        <v>22.849</v>
      </c>
      <c r="I71" s="10">
        <f t="shared" si="6"/>
        <v>5.45</v>
      </c>
      <c r="J71" s="12">
        <f t="shared" si="7"/>
        <v>11.554</v>
      </c>
      <c r="K71" s="17">
        <f t="shared" si="8"/>
        <v>0.942</v>
      </c>
      <c r="L71" s="10">
        <f t="shared" si="9"/>
        <v>0.111</v>
      </c>
      <c r="M71" s="10">
        <f t="shared" si="10"/>
        <v>0.02646701576</v>
      </c>
      <c r="N71" s="18">
        <f t="shared" si="11"/>
        <v>2.81</v>
      </c>
      <c r="O71" s="9">
        <f t="shared" si="12"/>
        <v>82</v>
      </c>
      <c r="P71" s="9">
        <f t="shared" si="13"/>
        <v>85.37</v>
      </c>
    </row>
    <row r="72">
      <c r="A72" s="8">
        <v>71.0</v>
      </c>
      <c r="B72" s="15">
        <v>0.003</v>
      </c>
      <c r="C72" s="8">
        <v>0.222</v>
      </c>
      <c r="D72" s="9">
        <f t="shared" si="1"/>
        <v>61.8</v>
      </c>
      <c r="E72" s="16">
        <f t="shared" si="2"/>
        <v>0.76</v>
      </c>
      <c r="F72" s="10">
        <f t="shared" si="3"/>
        <v>1.994437112</v>
      </c>
      <c r="G72" s="11">
        <f t="shared" si="4"/>
        <v>47.38</v>
      </c>
      <c r="H72" s="10">
        <f t="shared" si="5"/>
        <v>22.752</v>
      </c>
      <c r="I72" s="10">
        <f t="shared" si="6"/>
        <v>5.39</v>
      </c>
      <c r="J72" s="12">
        <f t="shared" si="7"/>
        <v>11.376</v>
      </c>
      <c r="K72" s="17">
        <f t="shared" si="8"/>
        <v>0.94</v>
      </c>
      <c r="L72" s="10">
        <f t="shared" si="9"/>
        <v>0.112</v>
      </c>
      <c r="M72" s="10">
        <f t="shared" si="10"/>
        <v>0.02650996749</v>
      </c>
      <c r="N72" s="18">
        <f t="shared" si="11"/>
        <v>2.82</v>
      </c>
      <c r="O72" s="9">
        <f t="shared" si="12"/>
        <v>82</v>
      </c>
      <c r="P72" s="9">
        <f t="shared" si="13"/>
        <v>86.59</v>
      </c>
    </row>
    <row r="73">
      <c r="A73" s="8">
        <v>72.0</v>
      </c>
      <c r="B73" s="15">
        <v>2.164E-4</v>
      </c>
      <c r="C73" s="8">
        <v>0.052</v>
      </c>
      <c r="D73" s="9">
        <f t="shared" si="1"/>
        <v>16.6</v>
      </c>
      <c r="E73" s="16">
        <f t="shared" si="2"/>
        <v>1.01</v>
      </c>
      <c r="F73" s="10">
        <f t="shared" si="3"/>
        <v>1.993943368</v>
      </c>
      <c r="G73" s="11">
        <f t="shared" si="4"/>
        <v>46.95</v>
      </c>
      <c r="H73" s="10">
        <f t="shared" si="5"/>
        <v>22.88</v>
      </c>
      <c r="I73" s="10">
        <f t="shared" si="6"/>
        <v>5.38</v>
      </c>
      <c r="J73" s="12">
        <f t="shared" si="7"/>
        <v>11.459</v>
      </c>
      <c r="K73" s="17">
        <f t="shared" si="8"/>
        <v>0.941</v>
      </c>
      <c r="L73" s="10">
        <f t="shared" si="9"/>
        <v>0.112</v>
      </c>
      <c r="M73" s="10">
        <f t="shared" si="10"/>
        <v>0.0263187097</v>
      </c>
      <c r="N73" s="18">
        <f t="shared" si="11"/>
        <v>2.8</v>
      </c>
      <c r="O73" s="9">
        <f t="shared" si="12"/>
        <v>82</v>
      </c>
      <c r="P73" s="9">
        <f t="shared" si="13"/>
        <v>87.8</v>
      </c>
    </row>
    <row r="74">
      <c r="A74" s="8">
        <v>73.0</v>
      </c>
      <c r="B74" s="15">
        <v>0.005</v>
      </c>
      <c r="C74" s="8">
        <v>0.269</v>
      </c>
      <c r="D74" s="9">
        <f t="shared" si="1"/>
        <v>79.79</v>
      </c>
      <c r="E74" s="16">
        <f t="shared" si="2"/>
        <v>0.87</v>
      </c>
      <c r="F74" s="10">
        <f t="shared" si="3"/>
        <v>1.993463567</v>
      </c>
      <c r="G74" s="11">
        <f t="shared" si="4"/>
        <v>47.4</v>
      </c>
      <c r="H74" s="10">
        <f t="shared" si="5"/>
        <v>23.044</v>
      </c>
      <c r="I74" s="10">
        <f t="shared" si="6"/>
        <v>5.38</v>
      </c>
      <c r="J74" s="12">
        <f t="shared" si="7"/>
        <v>11.35</v>
      </c>
      <c r="K74" s="17">
        <f t="shared" si="8"/>
        <v>0.94</v>
      </c>
      <c r="L74" s="10">
        <f t="shared" si="9"/>
        <v>0.111</v>
      </c>
      <c r="M74" s="10">
        <f t="shared" si="10"/>
        <v>0.02589821616</v>
      </c>
      <c r="N74" s="18">
        <f t="shared" si="11"/>
        <v>2.76</v>
      </c>
      <c r="O74" s="9">
        <f t="shared" si="12"/>
        <v>82</v>
      </c>
      <c r="P74" s="9">
        <f t="shared" si="13"/>
        <v>89.02</v>
      </c>
    </row>
    <row r="75">
      <c r="A75" s="8">
        <v>74.0</v>
      </c>
      <c r="B75" s="15">
        <v>1.4E-4</v>
      </c>
      <c r="C75" s="8">
        <v>0.04</v>
      </c>
      <c r="D75" s="9">
        <f t="shared" si="1"/>
        <v>13.35</v>
      </c>
      <c r="E75" s="16">
        <f t="shared" si="2"/>
        <v>1.1</v>
      </c>
      <c r="F75" s="10">
        <f t="shared" si="3"/>
        <v>1.992997126</v>
      </c>
      <c r="G75" s="11">
        <f t="shared" si="4"/>
        <v>46.94</v>
      </c>
      <c r="H75" s="10">
        <f t="shared" si="5"/>
        <v>23.225</v>
      </c>
      <c r="I75" s="10">
        <f t="shared" si="6"/>
        <v>5.38</v>
      </c>
      <c r="J75" s="12">
        <f t="shared" si="7"/>
        <v>11.461</v>
      </c>
      <c r="K75" s="17">
        <f t="shared" si="8"/>
        <v>0.942</v>
      </c>
      <c r="L75" s="10">
        <f t="shared" si="9"/>
        <v>0.112</v>
      </c>
      <c r="M75" s="10">
        <f t="shared" si="10"/>
        <v>0.02594829551</v>
      </c>
      <c r="N75" s="18">
        <f t="shared" si="11"/>
        <v>2.75</v>
      </c>
      <c r="O75" s="9">
        <f t="shared" si="12"/>
        <v>82</v>
      </c>
      <c r="P75" s="9">
        <f t="shared" si="13"/>
        <v>90.24</v>
      </c>
    </row>
    <row r="76">
      <c r="A76" s="8">
        <v>75.0</v>
      </c>
      <c r="B76" s="8">
        <v>0.002</v>
      </c>
      <c r="C76" s="8">
        <v>0.174</v>
      </c>
      <c r="D76" s="9">
        <f t="shared" si="1"/>
        <v>50.46</v>
      </c>
      <c r="E76" s="9">
        <f t="shared" si="2"/>
        <v>0.83</v>
      </c>
      <c r="F76" s="10">
        <f t="shared" si="3"/>
        <v>1.992543495</v>
      </c>
      <c r="G76" s="11">
        <f t="shared" si="4"/>
        <v>46.99</v>
      </c>
      <c r="H76" s="10">
        <f t="shared" si="5"/>
        <v>23.071</v>
      </c>
      <c r="I76" s="10">
        <f t="shared" si="6"/>
        <v>5.31</v>
      </c>
      <c r="J76" s="12">
        <f t="shared" si="7"/>
        <v>11.3</v>
      </c>
      <c r="K76" s="17">
        <f t="shared" si="8"/>
        <v>0.94</v>
      </c>
      <c r="L76" s="10">
        <f t="shared" si="9"/>
        <v>0.112</v>
      </c>
      <c r="M76" s="10">
        <f t="shared" si="10"/>
        <v>0.02576885972</v>
      </c>
      <c r="N76" s="18">
        <f t="shared" si="11"/>
        <v>2.74</v>
      </c>
      <c r="O76" s="9">
        <f t="shared" si="12"/>
        <v>82</v>
      </c>
      <c r="P76" s="9">
        <f t="shared" si="13"/>
        <v>91.46</v>
      </c>
    </row>
    <row r="77">
      <c r="A77" s="8">
        <v>76.0</v>
      </c>
      <c r="B77" s="15">
        <v>7.448E-4</v>
      </c>
      <c r="C77" s="8">
        <v>0.097</v>
      </c>
      <c r="D77" s="9">
        <f t="shared" si="1"/>
        <v>30.79</v>
      </c>
      <c r="E77" s="16">
        <f t="shared" si="2"/>
        <v>0.99</v>
      </c>
      <c r="F77" s="10">
        <f t="shared" si="3"/>
        <v>1.992102154</v>
      </c>
      <c r="G77" s="11">
        <f t="shared" si="4"/>
        <v>46.77</v>
      </c>
      <c r="H77" s="10">
        <f t="shared" si="5"/>
        <v>22.992</v>
      </c>
      <c r="I77" s="10">
        <f t="shared" si="6"/>
        <v>5.25</v>
      </c>
      <c r="J77" s="12">
        <f t="shared" si="7"/>
        <v>11.225</v>
      </c>
      <c r="K77" s="17">
        <f t="shared" si="8"/>
        <v>0.941</v>
      </c>
      <c r="L77" s="10">
        <f t="shared" si="9"/>
        <v>0.112</v>
      </c>
      <c r="M77" s="10">
        <f t="shared" si="10"/>
        <v>0.02559309635</v>
      </c>
      <c r="N77" s="18">
        <f t="shared" si="11"/>
        <v>2.72</v>
      </c>
      <c r="O77" s="9">
        <f t="shared" si="12"/>
        <v>82</v>
      </c>
      <c r="P77" s="9">
        <f t="shared" si="13"/>
        <v>92.68</v>
      </c>
    </row>
    <row r="78">
      <c r="A78" s="8">
        <v>77.0</v>
      </c>
      <c r="B78" s="15">
        <v>0.003</v>
      </c>
      <c r="C78" s="8">
        <v>0.184</v>
      </c>
      <c r="D78" s="9">
        <f t="shared" si="1"/>
        <v>61.8</v>
      </c>
      <c r="E78" s="16">
        <f t="shared" si="2"/>
        <v>1.11</v>
      </c>
      <c r="F78" s="10">
        <f t="shared" si="3"/>
        <v>1.99167261</v>
      </c>
      <c r="G78" s="11">
        <f t="shared" si="4"/>
        <v>46.97</v>
      </c>
      <c r="H78" s="10">
        <f t="shared" si="5"/>
        <v>22.904</v>
      </c>
      <c r="I78" s="10">
        <f t="shared" si="6"/>
        <v>5.2</v>
      </c>
      <c r="J78" s="12">
        <f t="shared" si="7"/>
        <v>11.071</v>
      </c>
      <c r="K78" s="17">
        <f t="shared" si="8"/>
        <v>0.943</v>
      </c>
      <c r="L78" s="10">
        <f t="shared" si="9"/>
        <v>0.113</v>
      </c>
      <c r="M78" s="10">
        <f t="shared" si="10"/>
        <v>0.02564785393</v>
      </c>
      <c r="N78" s="18">
        <f t="shared" si="11"/>
        <v>2.72</v>
      </c>
      <c r="O78" s="9">
        <f t="shared" si="12"/>
        <v>82</v>
      </c>
      <c r="P78" s="9">
        <f t="shared" si="13"/>
        <v>93.9</v>
      </c>
    </row>
    <row r="79">
      <c r="A79" s="8">
        <v>78.0</v>
      </c>
      <c r="B79" s="8">
        <v>0.004</v>
      </c>
      <c r="C79" s="8">
        <v>0.239</v>
      </c>
      <c r="D79" s="9">
        <f t="shared" si="1"/>
        <v>71.36</v>
      </c>
      <c r="E79" s="9">
        <f t="shared" si="2"/>
        <v>0.88</v>
      </c>
      <c r="F79" s="10">
        <f t="shared" si="3"/>
        <v>1.991254395</v>
      </c>
      <c r="G79" s="11">
        <f t="shared" si="4"/>
        <v>47.28</v>
      </c>
      <c r="H79" s="10">
        <f t="shared" si="5"/>
        <v>22.922</v>
      </c>
      <c r="I79" s="10">
        <f t="shared" si="6"/>
        <v>5.17</v>
      </c>
      <c r="J79" s="12">
        <f t="shared" si="7"/>
        <v>10.935</v>
      </c>
      <c r="K79" s="17">
        <f t="shared" si="8"/>
        <v>0.942</v>
      </c>
      <c r="L79" s="10">
        <f t="shared" si="9"/>
        <v>0.112</v>
      </c>
      <c r="M79" s="10">
        <f t="shared" si="10"/>
        <v>0.02525209816</v>
      </c>
      <c r="N79" s="18">
        <f t="shared" si="11"/>
        <v>2.68</v>
      </c>
      <c r="O79" s="9">
        <f t="shared" si="12"/>
        <v>82</v>
      </c>
      <c r="P79" s="9">
        <f t="shared" si="13"/>
        <v>95.12</v>
      </c>
    </row>
    <row r="80">
      <c r="A80" s="8">
        <v>79.0</v>
      </c>
      <c r="B80" s="15">
        <v>0.005</v>
      </c>
      <c r="C80" s="8">
        <v>0.268</v>
      </c>
      <c r="D80" s="9">
        <f t="shared" si="1"/>
        <v>79.79</v>
      </c>
      <c r="E80" s="16">
        <f t="shared" si="2"/>
        <v>0.87</v>
      </c>
      <c r="F80" s="10">
        <f t="shared" si="3"/>
        <v>1.990847069</v>
      </c>
      <c r="G80" s="11">
        <f t="shared" si="4"/>
        <v>47.69</v>
      </c>
      <c r="H80" s="10">
        <f t="shared" si="5"/>
        <v>23.067</v>
      </c>
      <c r="I80" s="10">
        <f t="shared" si="6"/>
        <v>5.17</v>
      </c>
      <c r="J80" s="12">
        <f t="shared" si="7"/>
        <v>10.841</v>
      </c>
      <c r="K80" s="17">
        <f t="shared" si="8"/>
        <v>0.942</v>
      </c>
      <c r="L80" s="10">
        <f t="shared" si="9"/>
        <v>0.112</v>
      </c>
      <c r="M80" s="10">
        <f t="shared" si="10"/>
        <v>0.02508663304</v>
      </c>
      <c r="N80" s="18">
        <f t="shared" si="11"/>
        <v>2.66</v>
      </c>
      <c r="O80" s="9">
        <f t="shared" si="12"/>
        <v>82</v>
      </c>
      <c r="P80" s="9">
        <f t="shared" si="13"/>
        <v>96.34</v>
      </c>
    </row>
    <row r="81">
      <c r="A81" s="8">
        <v>80.0</v>
      </c>
      <c r="B81" s="8">
        <v>0.003</v>
      </c>
      <c r="C81" s="8">
        <v>0.203</v>
      </c>
      <c r="D81" s="9">
        <f t="shared" si="1"/>
        <v>61.8</v>
      </c>
      <c r="E81" s="9">
        <f t="shared" si="2"/>
        <v>0.91</v>
      </c>
      <c r="F81" s="10">
        <f t="shared" si="3"/>
        <v>1.99045021</v>
      </c>
      <c r="G81" s="11">
        <f t="shared" si="4"/>
        <v>47.87</v>
      </c>
      <c r="H81" s="10">
        <f t="shared" si="5"/>
        <v>22.974</v>
      </c>
      <c r="I81" s="10">
        <f t="shared" si="6"/>
        <v>5.11</v>
      </c>
      <c r="J81" s="12">
        <f t="shared" si="7"/>
        <v>10.675</v>
      </c>
      <c r="K81" s="17">
        <f t="shared" si="8"/>
        <v>0.941</v>
      </c>
      <c r="L81" s="10">
        <f t="shared" si="9"/>
        <v>0.111</v>
      </c>
      <c r="M81" s="10">
        <f t="shared" si="10"/>
        <v>0.02470183997</v>
      </c>
      <c r="N81" s="18">
        <f t="shared" si="11"/>
        <v>2.63</v>
      </c>
      <c r="O81" s="9">
        <f t="shared" si="12"/>
        <v>82</v>
      </c>
      <c r="P81" s="9">
        <f t="shared" si="13"/>
        <v>97.56</v>
      </c>
    </row>
    <row r="82">
      <c r="A82" s="8">
        <v>81.0</v>
      </c>
      <c r="B82" s="8">
        <v>0.003</v>
      </c>
      <c r="C82" s="8">
        <v>0.208</v>
      </c>
      <c r="D82" s="9">
        <f t="shared" si="1"/>
        <v>61.8</v>
      </c>
      <c r="E82" s="9">
        <f t="shared" si="2"/>
        <v>0.87</v>
      </c>
      <c r="F82" s="10">
        <f t="shared" si="3"/>
        <v>1.990063421</v>
      </c>
      <c r="G82" s="11">
        <f t="shared" si="4"/>
        <v>48.04</v>
      </c>
      <c r="H82" s="10">
        <f t="shared" si="5"/>
        <v>22.883</v>
      </c>
      <c r="I82" s="10">
        <f t="shared" si="6"/>
        <v>5.06</v>
      </c>
      <c r="J82" s="12">
        <f t="shared" si="7"/>
        <v>10.533</v>
      </c>
      <c r="K82" s="17">
        <f t="shared" si="8"/>
        <v>0.94</v>
      </c>
      <c r="L82" s="10">
        <f t="shared" si="9"/>
        <v>0.111</v>
      </c>
      <c r="M82" s="10">
        <f t="shared" si="10"/>
        <v>0.02454411553</v>
      </c>
      <c r="N82" s="18">
        <f t="shared" si="11"/>
        <v>2.61</v>
      </c>
      <c r="O82" s="9">
        <f t="shared" si="12"/>
        <v>82</v>
      </c>
      <c r="P82" s="9">
        <f t="shared" si="13"/>
        <v>98.78</v>
      </c>
    </row>
    <row r="83">
      <c r="A83" s="8">
        <v>82.0</v>
      </c>
      <c r="B83" s="15">
        <v>7.193E-4</v>
      </c>
      <c r="C83" s="8">
        <v>0.097</v>
      </c>
      <c r="D83" s="9">
        <f t="shared" si="1"/>
        <v>30.26</v>
      </c>
      <c r="E83" s="16">
        <f t="shared" si="2"/>
        <v>0.96</v>
      </c>
      <c r="F83" s="10">
        <f t="shared" si="3"/>
        <v>1.989686323</v>
      </c>
      <c r="G83" s="11">
        <f t="shared" si="4"/>
        <v>47.82</v>
      </c>
      <c r="H83" s="10">
        <f t="shared" si="5"/>
        <v>22.826</v>
      </c>
      <c r="I83" s="10">
        <f t="shared" si="6"/>
        <v>5.02</v>
      </c>
      <c r="J83" s="12">
        <f t="shared" si="7"/>
        <v>10.498</v>
      </c>
      <c r="K83" s="17">
        <f t="shared" si="8"/>
        <v>0.94</v>
      </c>
      <c r="L83" s="10">
        <f t="shared" si="9"/>
        <v>0.11</v>
      </c>
      <c r="M83" s="10">
        <f t="shared" si="10"/>
        <v>0.02416965068</v>
      </c>
      <c r="N83" s="18">
        <f t="shared" si="11"/>
        <v>2.57</v>
      </c>
      <c r="O83" s="9">
        <f t="shared" si="12"/>
        <v>82</v>
      </c>
      <c r="P83" s="9">
        <f t="shared" si="13"/>
        <v>100</v>
      </c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0.001</v>
      </c>
      <c r="C2" s="8">
        <v>0.125</v>
      </c>
      <c r="D2" s="9">
        <f t="shared" ref="D2:D39" si="1">ROUND(2*SQRT(B2/PI())*1000,2)</f>
        <v>35.68</v>
      </c>
      <c r="E2" s="16">
        <f t="shared" ref="E2:E39" si="2">ROUND(4*PI()*B2/C2/C2,2)</f>
        <v>0.8</v>
      </c>
      <c r="F2" s="10" t="str">
        <f t="shared" ref="F2:F39" si="3">_xlfn.T.INV(1-0.5*0.05,A2-1)</f>
        <v>#NUM!</v>
      </c>
      <c r="G2" s="11">
        <f t="shared" ref="G2:G39" si="4">ROUND(AVERAGE(D$2:D2),2)</f>
        <v>35.68</v>
      </c>
      <c r="H2" s="10" t="str">
        <f t="shared" ref="H2:H39" si="5">ROUND(_xlfn.STDEV.S(D$2:D2),3)</f>
        <v>#DIV/0!</v>
      </c>
      <c r="I2" s="10" t="str">
        <f t="shared" ref="I2:I39" si="6">ROUND(H2*F2/SQRT(A2),2)</f>
        <v>#DIV/0!</v>
      </c>
      <c r="J2" s="12" t="str">
        <f t="shared" ref="J2:J39" si="7">ROUND(100*I2/G2,3)</f>
        <v>#DIV/0!</v>
      </c>
      <c r="K2" s="17">
        <f t="shared" ref="K2:K39" si="8">ROUND(AVERAGE(E$2:E2),3)</f>
        <v>0.8</v>
      </c>
      <c r="L2" s="10" t="str">
        <f t="shared" ref="L2:L39" si="9">ROUND(_xlfn.STDEV.S(E$2:E2),3)</f>
        <v>#DIV/0!</v>
      </c>
      <c r="M2" s="10" t="str">
        <f t="shared" ref="M2:M39" si="10">L2*F2/SQRT(A2)</f>
        <v>#DIV/0!</v>
      </c>
      <c r="N2" s="14" t="str">
        <f t="shared" ref="N2:N39" si="11">ROUND(M2*100/K2,2)</f>
        <v>#DIV/0!</v>
      </c>
      <c r="O2" s="9">
        <f t="shared" ref="O2:O39" si="12">COUNT(A:A)</f>
        <v>38</v>
      </c>
      <c r="P2" s="9">
        <f t="shared" ref="P2:P39" si="13">ROUND(A2*100/O2,2)</f>
        <v>2.63</v>
      </c>
    </row>
    <row r="3">
      <c r="A3" s="8">
        <v>2.0</v>
      </c>
      <c r="B3" s="15">
        <v>0.003</v>
      </c>
      <c r="C3" s="8">
        <v>0.198</v>
      </c>
      <c r="D3" s="9">
        <f t="shared" si="1"/>
        <v>61.8</v>
      </c>
      <c r="E3" s="16">
        <f t="shared" si="2"/>
        <v>0.96</v>
      </c>
      <c r="F3" s="10">
        <f t="shared" si="3"/>
        <v>12.70620474</v>
      </c>
      <c r="G3" s="11">
        <f t="shared" si="4"/>
        <v>48.74</v>
      </c>
      <c r="H3" s="10">
        <f t="shared" si="5"/>
        <v>18.47</v>
      </c>
      <c r="I3" s="10">
        <f t="shared" si="6"/>
        <v>165.95</v>
      </c>
      <c r="J3" s="12">
        <f t="shared" si="7"/>
        <v>340.48</v>
      </c>
      <c r="K3" s="17">
        <f t="shared" si="8"/>
        <v>0.88</v>
      </c>
      <c r="L3" s="10">
        <f t="shared" si="9"/>
        <v>0.113</v>
      </c>
      <c r="M3" s="10">
        <f t="shared" si="10"/>
        <v>1.015264719</v>
      </c>
      <c r="N3" s="18">
        <f t="shared" si="11"/>
        <v>115.37</v>
      </c>
      <c r="O3" s="9">
        <f t="shared" si="12"/>
        <v>38</v>
      </c>
      <c r="P3" s="9">
        <f t="shared" si="13"/>
        <v>5.26</v>
      </c>
    </row>
    <row r="4">
      <c r="A4" s="8">
        <v>3.0</v>
      </c>
      <c r="B4" s="15">
        <v>2.355E-4</v>
      </c>
      <c r="C4" s="8">
        <v>0.053</v>
      </c>
      <c r="D4" s="9">
        <f t="shared" si="1"/>
        <v>17.32</v>
      </c>
      <c r="E4" s="16">
        <f t="shared" si="2"/>
        <v>1.05</v>
      </c>
      <c r="F4" s="10">
        <f t="shared" si="3"/>
        <v>4.30265273</v>
      </c>
      <c r="G4" s="11">
        <f t="shared" si="4"/>
        <v>38.27</v>
      </c>
      <c r="H4" s="10">
        <f t="shared" si="5"/>
        <v>22.353</v>
      </c>
      <c r="I4" s="10">
        <f t="shared" si="6"/>
        <v>55.53</v>
      </c>
      <c r="J4" s="12">
        <f t="shared" si="7"/>
        <v>145.101</v>
      </c>
      <c r="K4" s="17">
        <f t="shared" si="8"/>
        <v>0.937</v>
      </c>
      <c r="L4" s="10">
        <f t="shared" si="9"/>
        <v>0.127</v>
      </c>
      <c r="M4" s="10">
        <f t="shared" si="10"/>
        <v>0.3154854894</v>
      </c>
      <c r="N4" s="18">
        <f t="shared" si="11"/>
        <v>33.67</v>
      </c>
      <c r="O4" s="9">
        <f t="shared" si="12"/>
        <v>38</v>
      </c>
      <c r="P4" s="9">
        <f t="shared" si="13"/>
        <v>7.89</v>
      </c>
    </row>
    <row r="5">
      <c r="A5" s="8">
        <v>4.0</v>
      </c>
      <c r="B5" s="15">
        <v>8.594E-4</v>
      </c>
      <c r="C5" s="8">
        <v>0.105</v>
      </c>
      <c r="D5" s="9">
        <f t="shared" si="1"/>
        <v>33.08</v>
      </c>
      <c r="E5" s="16">
        <f t="shared" si="2"/>
        <v>0.98</v>
      </c>
      <c r="F5" s="10">
        <f t="shared" si="3"/>
        <v>3.182446305</v>
      </c>
      <c r="G5" s="11">
        <f t="shared" si="4"/>
        <v>36.97</v>
      </c>
      <c r="H5" s="10">
        <f t="shared" si="5"/>
        <v>18.434</v>
      </c>
      <c r="I5" s="10">
        <f t="shared" si="6"/>
        <v>29.33</v>
      </c>
      <c r="J5" s="12">
        <f t="shared" si="7"/>
        <v>79.335</v>
      </c>
      <c r="K5" s="17">
        <f t="shared" si="8"/>
        <v>0.948</v>
      </c>
      <c r="L5" s="10">
        <f t="shared" si="9"/>
        <v>0.106</v>
      </c>
      <c r="M5" s="10">
        <f t="shared" si="10"/>
        <v>0.1686696542</v>
      </c>
      <c r="N5" s="18">
        <f t="shared" si="11"/>
        <v>17.79</v>
      </c>
      <c r="O5" s="9">
        <f t="shared" si="12"/>
        <v>38</v>
      </c>
      <c r="P5" s="9">
        <f t="shared" si="13"/>
        <v>10.53</v>
      </c>
    </row>
    <row r="6">
      <c r="A6" s="8">
        <v>5.0</v>
      </c>
      <c r="B6" s="8">
        <v>1.05</v>
      </c>
      <c r="C6" s="8">
        <v>5.085</v>
      </c>
      <c r="D6" s="9">
        <f t="shared" si="1"/>
        <v>1156.24</v>
      </c>
      <c r="E6" s="9">
        <f t="shared" si="2"/>
        <v>0.51</v>
      </c>
      <c r="F6" s="10">
        <f t="shared" si="3"/>
        <v>2.776445105</v>
      </c>
      <c r="G6" s="11">
        <f t="shared" si="4"/>
        <v>260.82</v>
      </c>
      <c r="H6" s="10">
        <f t="shared" si="5"/>
        <v>500.807</v>
      </c>
      <c r="I6" s="10">
        <f t="shared" si="6"/>
        <v>621.83</v>
      </c>
      <c r="J6" s="12">
        <f t="shared" si="7"/>
        <v>238.413</v>
      </c>
      <c r="K6" s="17">
        <f t="shared" si="8"/>
        <v>0.86</v>
      </c>
      <c r="L6" s="10">
        <f t="shared" si="9"/>
        <v>0.216</v>
      </c>
      <c r="M6" s="10">
        <f t="shared" si="10"/>
        <v>0.2681994236</v>
      </c>
      <c r="N6" s="18">
        <f t="shared" si="11"/>
        <v>31.19</v>
      </c>
      <c r="O6" s="9">
        <f t="shared" si="12"/>
        <v>38</v>
      </c>
      <c r="P6" s="9">
        <f t="shared" si="13"/>
        <v>13.16</v>
      </c>
    </row>
    <row r="7">
      <c r="A7" s="8">
        <v>6.0</v>
      </c>
      <c r="B7" s="15">
        <v>4.392E-4</v>
      </c>
      <c r="C7" s="8">
        <v>0.073</v>
      </c>
      <c r="D7" s="9">
        <f t="shared" si="1"/>
        <v>23.65</v>
      </c>
      <c r="E7" s="16">
        <f t="shared" si="2"/>
        <v>1.04</v>
      </c>
      <c r="F7" s="10">
        <f t="shared" si="3"/>
        <v>2.570581836</v>
      </c>
      <c r="G7" s="11">
        <f t="shared" si="4"/>
        <v>221.3</v>
      </c>
      <c r="H7" s="10">
        <f t="shared" si="5"/>
        <v>458.281</v>
      </c>
      <c r="I7" s="10">
        <f t="shared" si="6"/>
        <v>480.94</v>
      </c>
      <c r="J7" s="12">
        <f t="shared" si="7"/>
        <v>217.325</v>
      </c>
      <c r="K7" s="17">
        <f t="shared" si="8"/>
        <v>0.89</v>
      </c>
      <c r="L7" s="10">
        <f t="shared" si="9"/>
        <v>0.207</v>
      </c>
      <c r="M7" s="10">
        <f t="shared" si="10"/>
        <v>0.2172331775</v>
      </c>
      <c r="N7" s="18">
        <f t="shared" si="11"/>
        <v>24.41</v>
      </c>
      <c r="O7" s="9">
        <f t="shared" si="12"/>
        <v>38</v>
      </c>
      <c r="P7" s="9">
        <f t="shared" si="13"/>
        <v>15.79</v>
      </c>
    </row>
    <row r="8">
      <c r="A8" s="8">
        <v>7.0</v>
      </c>
      <c r="B8" s="15">
        <v>8.084E-4</v>
      </c>
      <c r="C8" s="8">
        <v>0.101</v>
      </c>
      <c r="D8" s="9">
        <f t="shared" si="1"/>
        <v>32.08</v>
      </c>
      <c r="E8" s="16">
        <f t="shared" si="2"/>
        <v>1</v>
      </c>
      <c r="F8" s="10">
        <f t="shared" si="3"/>
        <v>2.446911851</v>
      </c>
      <c r="G8" s="11">
        <f t="shared" si="4"/>
        <v>194.26</v>
      </c>
      <c r="H8" s="10">
        <f t="shared" si="5"/>
        <v>424.42</v>
      </c>
      <c r="I8" s="10">
        <f t="shared" si="6"/>
        <v>392.52</v>
      </c>
      <c r="J8" s="12">
        <f t="shared" si="7"/>
        <v>202.059</v>
      </c>
      <c r="K8" s="17">
        <f t="shared" si="8"/>
        <v>0.906</v>
      </c>
      <c r="L8" s="10">
        <f t="shared" si="9"/>
        <v>0.193</v>
      </c>
      <c r="M8" s="10">
        <f t="shared" si="10"/>
        <v>0.1784952294</v>
      </c>
      <c r="N8" s="18">
        <f t="shared" si="11"/>
        <v>19.7</v>
      </c>
      <c r="O8" s="9">
        <f t="shared" si="12"/>
        <v>38</v>
      </c>
      <c r="P8" s="9">
        <f t="shared" si="13"/>
        <v>18.42</v>
      </c>
    </row>
    <row r="9">
      <c r="A9" s="8">
        <v>8.0</v>
      </c>
      <c r="B9" s="15">
        <v>0.002</v>
      </c>
      <c r="C9" s="8">
        <v>0.165</v>
      </c>
      <c r="D9" s="9">
        <f t="shared" si="1"/>
        <v>50.46</v>
      </c>
      <c r="E9" s="16">
        <f t="shared" si="2"/>
        <v>0.92</v>
      </c>
      <c r="F9" s="10">
        <f t="shared" si="3"/>
        <v>2.364624252</v>
      </c>
      <c r="G9" s="11">
        <f t="shared" si="4"/>
        <v>176.29</v>
      </c>
      <c r="H9" s="10">
        <f t="shared" si="5"/>
        <v>396.212</v>
      </c>
      <c r="I9" s="10">
        <f t="shared" si="6"/>
        <v>331.24</v>
      </c>
      <c r="J9" s="12">
        <f t="shared" si="7"/>
        <v>187.895</v>
      </c>
      <c r="K9" s="17">
        <f t="shared" si="8"/>
        <v>0.908</v>
      </c>
      <c r="L9" s="10">
        <f t="shared" si="9"/>
        <v>0.179</v>
      </c>
      <c r="M9" s="10">
        <f t="shared" si="10"/>
        <v>0.149647745</v>
      </c>
      <c r="N9" s="18">
        <f t="shared" si="11"/>
        <v>16.48</v>
      </c>
      <c r="O9" s="9">
        <f t="shared" si="12"/>
        <v>38</v>
      </c>
      <c r="P9" s="9">
        <f t="shared" si="13"/>
        <v>21.05</v>
      </c>
    </row>
    <row r="10">
      <c r="A10" s="8">
        <v>9.0</v>
      </c>
      <c r="B10" s="15">
        <v>4.838E-4</v>
      </c>
      <c r="C10" s="8">
        <v>0.078</v>
      </c>
      <c r="D10" s="9">
        <f t="shared" si="1"/>
        <v>24.82</v>
      </c>
      <c r="E10" s="16">
        <f t="shared" si="2"/>
        <v>1</v>
      </c>
      <c r="F10" s="10">
        <f t="shared" si="3"/>
        <v>2.306004135</v>
      </c>
      <c r="G10" s="11">
        <f t="shared" si="4"/>
        <v>159.46</v>
      </c>
      <c r="H10" s="10">
        <f t="shared" si="5"/>
        <v>374.046</v>
      </c>
      <c r="I10" s="10">
        <f t="shared" si="6"/>
        <v>287.52</v>
      </c>
      <c r="J10" s="12">
        <f t="shared" si="7"/>
        <v>180.309</v>
      </c>
      <c r="K10" s="17">
        <f t="shared" si="8"/>
        <v>0.918</v>
      </c>
      <c r="L10" s="10">
        <f t="shared" si="9"/>
        <v>0.17</v>
      </c>
      <c r="M10" s="10">
        <f t="shared" si="10"/>
        <v>0.1306735677</v>
      </c>
      <c r="N10" s="18">
        <f t="shared" si="11"/>
        <v>14.23</v>
      </c>
      <c r="O10" s="9">
        <f t="shared" si="12"/>
        <v>38</v>
      </c>
      <c r="P10" s="9">
        <f t="shared" si="13"/>
        <v>23.68</v>
      </c>
    </row>
    <row r="11">
      <c r="A11" s="8">
        <v>10.0</v>
      </c>
      <c r="B11" s="15">
        <v>2.468</v>
      </c>
      <c r="C11" s="8">
        <v>8.705</v>
      </c>
      <c r="D11" s="9">
        <f t="shared" si="1"/>
        <v>1772.67</v>
      </c>
      <c r="E11" s="16">
        <f t="shared" si="2"/>
        <v>0.41</v>
      </c>
      <c r="F11" s="10">
        <f t="shared" si="3"/>
        <v>2.262157163</v>
      </c>
      <c r="G11" s="11">
        <f t="shared" si="4"/>
        <v>320.78</v>
      </c>
      <c r="H11" s="10">
        <f t="shared" si="5"/>
        <v>620.169</v>
      </c>
      <c r="I11" s="10">
        <f t="shared" si="6"/>
        <v>443.64</v>
      </c>
      <c r="J11" s="12">
        <f t="shared" si="7"/>
        <v>138.3</v>
      </c>
      <c r="K11" s="17">
        <f t="shared" si="8"/>
        <v>0.867</v>
      </c>
      <c r="L11" s="10">
        <f t="shared" si="9"/>
        <v>0.227</v>
      </c>
      <c r="M11" s="10">
        <f t="shared" si="10"/>
        <v>0.1623860177</v>
      </c>
      <c r="N11" s="18">
        <f t="shared" si="11"/>
        <v>18.73</v>
      </c>
      <c r="O11" s="9">
        <f t="shared" si="12"/>
        <v>38</v>
      </c>
      <c r="P11" s="9">
        <f t="shared" si="13"/>
        <v>26.32</v>
      </c>
    </row>
    <row r="12">
      <c r="A12" s="8">
        <v>11.0</v>
      </c>
      <c r="B12" s="15">
        <v>8.53E-4</v>
      </c>
      <c r="C12" s="8">
        <v>0.105</v>
      </c>
      <c r="D12" s="9">
        <f t="shared" si="1"/>
        <v>32.96</v>
      </c>
      <c r="E12" s="16">
        <f t="shared" si="2"/>
        <v>0.97</v>
      </c>
      <c r="F12" s="10">
        <f t="shared" si="3"/>
        <v>2.228138852</v>
      </c>
      <c r="G12" s="11">
        <f t="shared" si="4"/>
        <v>294.61</v>
      </c>
      <c r="H12" s="10">
        <f t="shared" si="5"/>
        <v>594.71</v>
      </c>
      <c r="I12" s="10">
        <f t="shared" si="6"/>
        <v>399.53</v>
      </c>
      <c r="J12" s="12">
        <f t="shared" si="7"/>
        <v>135.613</v>
      </c>
      <c r="K12" s="17">
        <f t="shared" si="8"/>
        <v>0.876</v>
      </c>
      <c r="L12" s="10">
        <f t="shared" si="9"/>
        <v>0.218</v>
      </c>
      <c r="M12" s="10">
        <f t="shared" si="10"/>
        <v>0.1464543928</v>
      </c>
      <c r="N12" s="18">
        <f t="shared" si="11"/>
        <v>16.72</v>
      </c>
      <c r="O12" s="9">
        <f t="shared" si="12"/>
        <v>38</v>
      </c>
      <c r="P12" s="9">
        <f t="shared" si="13"/>
        <v>28.95</v>
      </c>
    </row>
    <row r="13">
      <c r="A13" s="8">
        <v>12.0</v>
      </c>
      <c r="B13" s="15">
        <v>5.729E-4</v>
      </c>
      <c r="C13" s="8">
        <v>0.087</v>
      </c>
      <c r="D13" s="9">
        <f t="shared" si="1"/>
        <v>27.01</v>
      </c>
      <c r="E13" s="16">
        <f t="shared" si="2"/>
        <v>0.95</v>
      </c>
      <c r="F13" s="10">
        <f t="shared" si="3"/>
        <v>2.20098516</v>
      </c>
      <c r="G13" s="11">
        <f t="shared" si="4"/>
        <v>272.31</v>
      </c>
      <c r="H13" s="10">
        <f t="shared" si="5"/>
        <v>572.272</v>
      </c>
      <c r="I13" s="10">
        <f t="shared" si="6"/>
        <v>363.6</v>
      </c>
      <c r="J13" s="12">
        <f t="shared" si="7"/>
        <v>133.524</v>
      </c>
      <c r="K13" s="17">
        <f t="shared" si="8"/>
        <v>0.883</v>
      </c>
      <c r="L13" s="10">
        <f t="shared" si="9"/>
        <v>0.209</v>
      </c>
      <c r="M13" s="10">
        <f t="shared" si="10"/>
        <v>0.1327922647</v>
      </c>
      <c r="N13" s="18">
        <f t="shared" si="11"/>
        <v>15.04</v>
      </c>
      <c r="O13" s="9">
        <f t="shared" si="12"/>
        <v>38</v>
      </c>
      <c r="P13" s="9">
        <f t="shared" si="13"/>
        <v>31.58</v>
      </c>
    </row>
    <row r="14">
      <c r="A14" s="8">
        <v>13.0</v>
      </c>
      <c r="B14" s="15">
        <v>4.456E-4</v>
      </c>
      <c r="C14" s="8">
        <v>0.077</v>
      </c>
      <c r="D14" s="9">
        <f t="shared" si="1"/>
        <v>23.82</v>
      </c>
      <c r="E14" s="16">
        <f t="shared" si="2"/>
        <v>0.94</v>
      </c>
      <c r="F14" s="10">
        <f t="shared" si="3"/>
        <v>2.17881283</v>
      </c>
      <c r="G14" s="11">
        <f t="shared" si="4"/>
        <v>253.2</v>
      </c>
      <c r="H14" s="10">
        <f t="shared" si="5"/>
        <v>552.226</v>
      </c>
      <c r="I14" s="10">
        <f t="shared" si="6"/>
        <v>333.71</v>
      </c>
      <c r="J14" s="12">
        <f t="shared" si="7"/>
        <v>131.797</v>
      </c>
      <c r="K14" s="17">
        <f t="shared" si="8"/>
        <v>0.887</v>
      </c>
      <c r="L14" s="10">
        <f t="shared" si="9"/>
        <v>0.2</v>
      </c>
      <c r="M14" s="10">
        <f t="shared" si="10"/>
        <v>0.1208587904</v>
      </c>
      <c r="N14" s="18">
        <f t="shared" si="11"/>
        <v>13.63</v>
      </c>
      <c r="O14" s="9">
        <f t="shared" si="12"/>
        <v>38</v>
      </c>
      <c r="P14" s="9">
        <f t="shared" si="13"/>
        <v>34.21</v>
      </c>
    </row>
    <row r="15">
      <c r="A15" s="8">
        <v>14.0</v>
      </c>
      <c r="B15" s="15">
        <v>0.001</v>
      </c>
      <c r="C15" s="8">
        <v>0.115</v>
      </c>
      <c r="D15" s="9">
        <f t="shared" si="1"/>
        <v>35.68</v>
      </c>
      <c r="E15" s="16">
        <f t="shared" si="2"/>
        <v>0.95</v>
      </c>
      <c r="F15" s="10">
        <f t="shared" si="3"/>
        <v>2.160368656</v>
      </c>
      <c r="G15" s="11">
        <f t="shared" si="4"/>
        <v>237.66</v>
      </c>
      <c r="H15" s="10">
        <f t="shared" si="5"/>
        <v>533.737</v>
      </c>
      <c r="I15" s="10">
        <f t="shared" si="6"/>
        <v>308.17</v>
      </c>
      <c r="J15" s="12">
        <f t="shared" si="7"/>
        <v>129.668</v>
      </c>
      <c r="K15" s="17">
        <f t="shared" si="8"/>
        <v>0.891</v>
      </c>
      <c r="L15" s="10">
        <f t="shared" si="9"/>
        <v>0.193</v>
      </c>
      <c r="M15" s="10">
        <f t="shared" si="10"/>
        <v>0.1114348824</v>
      </c>
      <c r="N15" s="18">
        <f t="shared" si="11"/>
        <v>12.51</v>
      </c>
      <c r="O15" s="9">
        <f t="shared" si="12"/>
        <v>38</v>
      </c>
      <c r="P15" s="9">
        <f t="shared" si="13"/>
        <v>36.84</v>
      </c>
    </row>
    <row r="16">
      <c r="A16" s="8">
        <v>15.0</v>
      </c>
      <c r="B16" s="15">
        <v>3.565E-4</v>
      </c>
      <c r="C16" s="8">
        <v>0.068</v>
      </c>
      <c r="D16" s="9">
        <f t="shared" si="1"/>
        <v>21.31</v>
      </c>
      <c r="E16" s="16">
        <f t="shared" si="2"/>
        <v>0.97</v>
      </c>
      <c r="F16" s="10">
        <f t="shared" si="3"/>
        <v>2.144786688</v>
      </c>
      <c r="G16" s="11">
        <f t="shared" si="4"/>
        <v>223.24</v>
      </c>
      <c r="H16" s="10">
        <f t="shared" si="5"/>
        <v>517.347</v>
      </c>
      <c r="I16" s="10">
        <f t="shared" si="6"/>
        <v>286.5</v>
      </c>
      <c r="J16" s="12">
        <f t="shared" si="7"/>
        <v>128.337</v>
      </c>
      <c r="K16" s="17">
        <f t="shared" si="8"/>
        <v>0.897</v>
      </c>
      <c r="L16" s="10">
        <f t="shared" si="9"/>
        <v>0.187</v>
      </c>
      <c r="M16" s="10">
        <f t="shared" si="10"/>
        <v>0.1035571483</v>
      </c>
      <c r="N16" s="18">
        <f t="shared" si="11"/>
        <v>11.54</v>
      </c>
      <c r="O16" s="9">
        <f t="shared" si="12"/>
        <v>38</v>
      </c>
      <c r="P16" s="9">
        <f t="shared" si="13"/>
        <v>39.47</v>
      </c>
    </row>
    <row r="17">
      <c r="A17" s="8">
        <v>16.0</v>
      </c>
      <c r="B17" s="15">
        <v>2.801E-4</v>
      </c>
      <c r="C17" s="8">
        <v>0.058</v>
      </c>
      <c r="D17" s="9">
        <f t="shared" si="1"/>
        <v>18.88</v>
      </c>
      <c r="E17" s="16">
        <f t="shared" si="2"/>
        <v>1.05</v>
      </c>
      <c r="F17" s="10">
        <f t="shared" si="3"/>
        <v>2.131449546</v>
      </c>
      <c r="G17" s="11">
        <f t="shared" si="4"/>
        <v>210.47</v>
      </c>
      <c r="H17" s="10">
        <f t="shared" si="5"/>
        <v>502.409</v>
      </c>
      <c r="I17" s="10">
        <f t="shared" si="6"/>
        <v>267.71</v>
      </c>
      <c r="J17" s="12">
        <f t="shared" si="7"/>
        <v>127.196</v>
      </c>
      <c r="K17" s="17">
        <f t="shared" si="8"/>
        <v>0.906</v>
      </c>
      <c r="L17" s="10">
        <f t="shared" si="9"/>
        <v>0.185</v>
      </c>
      <c r="M17" s="10">
        <f t="shared" si="10"/>
        <v>0.09857954148</v>
      </c>
      <c r="N17" s="18">
        <f t="shared" si="11"/>
        <v>10.88</v>
      </c>
      <c r="O17" s="9">
        <f t="shared" si="12"/>
        <v>38</v>
      </c>
      <c r="P17" s="9">
        <f t="shared" si="13"/>
        <v>42.11</v>
      </c>
    </row>
    <row r="18">
      <c r="A18" s="8">
        <v>17.0</v>
      </c>
      <c r="B18" s="15">
        <v>8.594E-4</v>
      </c>
      <c r="C18" s="8">
        <v>0.106</v>
      </c>
      <c r="D18" s="9">
        <f t="shared" si="1"/>
        <v>33.08</v>
      </c>
      <c r="E18" s="16">
        <f t="shared" si="2"/>
        <v>0.96</v>
      </c>
      <c r="F18" s="10">
        <f t="shared" si="3"/>
        <v>2.119905299</v>
      </c>
      <c r="G18" s="11">
        <f t="shared" si="4"/>
        <v>200.03</v>
      </c>
      <c r="H18" s="10">
        <f t="shared" si="5"/>
        <v>488.354</v>
      </c>
      <c r="I18" s="10">
        <f t="shared" si="6"/>
        <v>251.09</v>
      </c>
      <c r="J18" s="12">
        <f t="shared" si="7"/>
        <v>125.526</v>
      </c>
      <c r="K18" s="17">
        <f t="shared" si="8"/>
        <v>0.909</v>
      </c>
      <c r="L18" s="10">
        <f t="shared" si="9"/>
        <v>0.18</v>
      </c>
      <c r="M18" s="10">
        <f t="shared" si="10"/>
        <v>0.09254746022</v>
      </c>
      <c r="N18" s="18">
        <f t="shared" si="11"/>
        <v>10.18</v>
      </c>
      <c r="O18" s="9">
        <f t="shared" si="12"/>
        <v>38</v>
      </c>
      <c r="P18" s="9">
        <f t="shared" si="13"/>
        <v>44.74</v>
      </c>
    </row>
    <row r="19">
      <c r="A19" s="8">
        <v>18.0</v>
      </c>
      <c r="B19" s="15">
        <v>1.528E-4</v>
      </c>
      <c r="C19" s="8">
        <v>0.043</v>
      </c>
      <c r="D19" s="9">
        <f t="shared" si="1"/>
        <v>13.95</v>
      </c>
      <c r="E19" s="16">
        <f t="shared" si="2"/>
        <v>1.04</v>
      </c>
      <c r="F19" s="10">
        <f t="shared" si="3"/>
        <v>2.109815578</v>
      </c>
      <c r="G19" s="11">
        <f t="shared" si="4"/>
        <v>189.69</v>
      </c>
      <c r="H19" s="10">
        <f t="shared" si="5"/>
        <v>475.799</v>
      </c>
      <c r="I19" s="10">
        <f t="shared" si="6"/>
        <v>236.61</v>
      </c>
      <c r="J19" s="12">
        <f t="shared" si="7"/>
        <v>124.735</v>
      </c>
      <c r="K19" s="17">
        <f t="shared" si="8"/>
        <v>0.917</v>
      </c>
      <c r="L19" s="10">
        <f t="shared" si="9"/>
        <v>0.177</v>
      </c>
      <c r="M19" s="10">
        <f t="shared" si="10"/>
        <v>0.08802002923</v>
      </c>
      <c r="N19" s="18">
        <f t="shared" si="11"/>
        <v>9.6</v>
      </c>
      <c r="O19" s="9">
        <f t="shared" si="12"/>
        <v>38</v>
      </c>
      <c r="P19" s="9">
        <f t="shared" si="13"/>
        <v>47.37</v>
      </c>
    </row>
    <row r="20">
      <c r="A20" s="8">
        <v>19.0</v>
      </c>
      <c r="B20" s="15">
        <v>0.001</v>
      </c>
      <c r="C20" s="8">
        <v>0.12</v>
      </c>
      <c r="D20" s="9">
        <f t="shared" si="1"/>
        <v>35.68</v>
      </c>
      <c r="E20" s="16">
        <f t="shared" si="2"/>
        <v>0.87</v>
      </c>
      <c r="F20" s="10">
        <f t="shared" si="3"/>
        <v>2.10092204</v>
      </c>
      <c r="G20" s="11">
        <f t="shared" si="4"/>
        <v>181.59</v>
      </c>
      <c r="H20" s="10">
        <f t="shared" si="5"/>
        <v>463.741</v>
      </c>
      <c r="I20" s="10">
        <f t="shared" si="6"/>
        <v>223.52</v>
      </c>
      <c r="J20" s="12">
        <f t="shared" si="7"/>
        <v>123.09</v>
      </c>
      <c r="K20" s="17">
        <f t="shared" si="8"/>
        <v>0.914</v>
      </c>
      <c r="L20" s="10">
        <f t="shared" si="9"/>
        <v>0.172</v>
      </c>
      <c r="M20" s="10">
        <f t="shared" si="10"/>
        <v>0.08290134633</v>
      </c>
      <c r="N20" s="18">
        <f t="shared" si="11"/>
        <v>9.07</v>
      </c>
      <c r="O20" s="9">
        <f t="shared" si="12"/>
        <v>38</v>
      </c>
      <c r="P20" s="9">
        <f t="shared" si="13"/>
        <v>50</v>
      </c>
    </row>
    <row r="21">
      <c r="A21" s="8">
        <v>20.0</v>
      </c>
      <c r="B21" s="15">
        <v>0.001</v>
      </c>
      <c r="C21" s="8">
        <v>0.139</v>
      </c>
      <c r="D21" s="9">
        <f t="shared" si="1"/>
        <v>35.68</v>
      </c>
      <c r="E21" s="16">
        <f t="shared" si="2"/>
        <v>0.65</v>
      </c>
      <c r="F21" s="10">
        <f t="shared" si="3"/>
        <v>2.093024054</v>
      </c>
      <c r="G21" s="11">
        <f t="shared" si="4"/>
        <v>174.29</v>
      </c>
      <c r="H21" s="10">
        <f t="shared" si="5"/>
        <v>452.55</v>
      </c>
      <c r="I21" s="10">
        <f t="shared" si="6"/>
        <v>211.8</v>
      </c>
      <c r="J21" s="12">
        <f t="shared" si="7"/>
        <v>121.522</v>
      </c>
      <c r="K21" s="17">
        <f t="shared" si="8"/>
        <v>0.901</v>
      </c>
      <c r="L21" s="10">
        <f t="shared" si="9"/>
        <v>0.178</v>
      </c>
      <c r="M21" s="10">
        <f t="shared" si="10"/>
        <v>0.08330656434</v>
      </c>
      <c r="N21" s="18">
        <f t="shared" si="11"/>
        <v>9.25</v>
      </c>
      <c r="O21" s="9">
        <f t="shared" si="12"/>
        <v>38</v>
      </c>
      <c r="P21" s="9">
        <f t="shared" si="13"/>
        <v>52.63</v>
      </c>
    </row>
    <row r="22">
      <c r="A22" s="8">
        <v>21.0</v>
      </c>
      <c r="B22" s="8">
        <v>0.002</v>
      </c>
      <c r="C22" s="8">
        <v>0.177</v>
      </c>
      <c r="D22" s="9">
        <f t="shared" si="1"/>
        <v>50.46</v>
      </c>
      <c r="E22" s="9">
        <f t="shared" si="2"/>
        <v>0.8</v>
      </c>
      <c r="F22" s="10">
        <f t="shared" si="3"/>
        <v>2.085963447</v>
      </c>
      <c r="G22" s="11">
        <f t="shared" si="4"/>
        <v>168.4</v>
      </c>
      <c r="H22" s="10">
        <f t="shared" si="5"/>
        <v>441.918</v>
      </c>
      <c r="I22" s="10">
        <f t="shared" si="6"/>
        <v>201.16</v>
      </c>
      <c r="J22" s="12">
        <f t="shared" si="7"/>
        <v>119.454</v>
      </c>
      <c r="K22" s="17">
        <f t="shared" si="8"/>
        <v>0.896</v>
      </c>
      <c r="L22" s="10">
        <f t="shared" si="9"/>
        <v>0.175</v>
      </c>
      <c r="M22" s="10">
        <f t="shared" si="10"/>
        <v>0.07965904495</v>
      </c>
      <c r="N22" s="18">
        <f t="shared" si="11"/>
        <v>8.89</v>
      </c>
      <c r="O22" s="9">
        <f t="shared" si="12"/>
        <v>38</v>
      </c>
      <c r="P22" s="9">
        <f t="shared" si="13"/>
        <v>55.26</v>
      </c>
    </row>
    <row r="23">
      <c r="A23" s="8">
        <v>22.0</v>
      </c>
      <c r="B23" s="15">
        <v>7.32E-4</v>
      </c>
      <c r="C23" s="8">
        <v>0.099</v>
      </c>
      <c r="D23" s="9">
        <f t="shared" si="1"/>
        <v>30.53</v>
      </c>
      <c r="E23" s="16">
        <f t="shared" si="2"/>
        <v>0.94</v>
      </c>
      <c r="F23" s="10">
        <f t="shared" si="3"/>
        <v>2.079613845</v>
      </c>
      <c r="G23" s="11">
        <f t="shared" si="4"/>
        <v>162.13</v>
      </c>
      <c r="H23" s="10">
        <f t="shared" si="5"/>
        <v>432.269</v>
      </c>
      <c r="I23" s="10">
        <f t="shared" si="6"/>
        <v>191.66</v>
      </c>
      <c r="J23" s="12">
        <f t="shared" si="7"/>
        <v>118.214</v>
      </c>
      <c r="K23" s="17">
        <f t="shared" si="8"/>
        <v>0.898</v>
      </c>
      <c r="L23" s="10">
        <f t="shared" si="9"/>
        <v>0.171</v>
      </c>
      <c r="M23" s="10">
        <f t="shared" si="10"/>
        <v>0.07581715261</v>
      </c>
      <c r="N23" s="18">
        <f t="shared" si="11"/>
        <v>8.44</v>
      </c>
      <c r="O23" s="9">
        <f t="shared" si="12"/>
        <v>38</v>
      </c>
      <c r="P23" s="9">
        <f t="shared" si="13"/>
        <v>57.89</v>
      </c>
    </row>
    <row r="24">
      <c r="A24" s="8">
        <v>23.0</v>
      </c>
      <c r="B24" s="15">
        <v>0.004</v>
      </c>
      <c r="C24" s="8">
        <v>0.232</v>
      </c>
      <c r="D24" s="9">
        <f t="shared" si="1"/>
        <v>71.36</v>
      </c>
      <c r="E24" s="16">
        <f t="shared" si="2"/>
        <v>0.93</v>
      </c>
      <c r="F24" s="10">
        <f t="shared" si="3"/>
        <v>2.073873068</v>
      </c>
      <c r="G24" s="11">
        <f t="shared" si="4"/>
        <v>158.18</v>
      </c>
      <c r="H24" s="10">
        <f t="shared" si="5"/>
        <v>422.754</v>
      </c>
      <c r="I24" s="10">
        <f t="shared" si="6"/>
        <v>182.81</v>
      </c>
      <c r="J24" s="12">
        <f t="shared" si="7"/>
        <v>115.571</v>
      </c>
      <c r="K24" s="17">
        <f t="shared" si="8"/>
        <v>0.9</v>
      </c>
      <c r="L24" s="10">
        <f t="shared" si="9"/>
        <v>0.167</v>
      </c>
      <c r="M24" s="10">
        <f t="shared" si="10"/>
        <v>0.07221621541</v>
      </c>
      <c r="N24" s="18">
        <f t="shared" si="11"/>
        <v>8.02</v>
      </c>
      <c r="O24" s="9">
        <f t="shared" si="12"/>
        <v>38</v>
      </c>
      <c r="P24" s="9">
        <f t="shared" si="13"/>
        <v>60.53</v>
      </c>
    </row>
    <row r="25">
      <c r="A25" s="8">
        <v>24.0</v>
      </c>
      <c r="B25" s="8">
        <v>0.003</v>
      </c>
      <c r="C25" s="8">
        <v>0.205</v>
      </c>
      <c r="D25" s="9">
        <f t="shared" si="1"/>
        <v>61.8</v>
      </c>
      <c r="E25" s="9">
        <f t="shared" si="2"/>
        <v>0.9</v>
      </c>
      <c r="F25" s="10">
        <f t="shared" si="3"/>
        <v>2.06865761</v>
      </c>
      <c r="G25" s="11">
        <f t="shared" si="4"/>
        <v>154.17</v>
      </c>
      <c r="H25" s="10">
        <f t="shared" si="5"/>
        <v>413.929</v>
      </c>
      <c r="I25" s="10">
        <f t="shared" si="6"/>
        <v>174.79</v>
      </c>
      <c r="J25" s="12">
        <f t="shared" si="7"/>
        <v>113.375</v>
      </c>
      <c r="K25" s="17">
        <f t="shared" si="8"/>
        <v>0.9</v>
      </c>
      <c r="L25" s="10">
        <f t="shared" si="9"/>
        <v>0.163</v>
      </c>
      <c r="M25" s="10">
        <f t="shared" si="10"/>
        <v>0.06882886354</v>
      </c>
      <c r="N25" s="18">
        <f t="shared" si="11"/>
        <v>7.65</v>
      </c>
      <c r="O25" s="9">
        <f t="shared" si="12"/>
        <v>38</v>
      </c>
      <c r="P25" s="9">
        <f t="shared" si="13"/>
        <v>63.16</v>
      </c>
    </row>
    <row r="26">
      <c r="A26" s="8">
        <v>25.0</v>
      </c>
      <c r="B26" s="15">
        <v>1.273E-4</v>
      </c>
      <c r="C26" s="8">
        <v>0.039</v>
      </c>
      <c r="D26" s="9">
        <f t="shared" si="1"/>
        <v>12.73</v>
      </c>
      <c r="E26" s="16">
        <f t="shared" si="2"/>
        <v>1.05</v>
      </c>
      <c r="F26" s="10">
        <f t="shared" si="3"/>
        <v>2.063898562</v>
      </c>
      <c r="G26" s="11">
        <f t="shared" si="4"/>
        <v>148.51</v>
      </c>
      <c r="H26" s="10">
        <f t="shared" si="5"/>
        <v>406.2</v>
      </c>
      <c r="I26" s="10">
        <f t="shared" si="6"/>
        <v>167.67</v>
      </c>
      <c r="J26" s="12">
        <f t="shared" si="7"/>
        <v>112.901</v>
      </c>
      <c r="K26" s="17">
        <f t="shared" si="8"/>
        <v>0.906</v>
      </c>
      <c r="L26" s="10">
        <f t="shared" si="9"/>
        <v>0.163</v>
      </c>
      <c r="M26" s="10">
        <f t="shared" si="10"/>
        <v>0.06728309311</v>
      </c>
      <c r="N26" s="18">
        <f t="shared" si="11"/>
        <v>7.43</v>
      </c>
      <c r="O26" s="9">
        <f t="shared" si="12"/>
        <v>38</v>
      </c>
      <c r="P26" s="9">
        <f t="shared" si="13"/>
        <v>65.79</v>
      </c>
    </row>
    <row r="27">
      <c r="A27" s="8">
        <v>26.0</v>
      </c>
      <c r="B27" s="15">
        <v>0.002</v>
      </c>
      <c r="C27" s="8">
        <v>0.177</v>
      </c>
      <c r="D27" s="9">
        <f t="shared" si="1"/>
        <v>50.46</v>
      </c>
      <c r="E27" s="16">
        <f t="shared" si="2"/>
        <v>0.8</v>
      </c>
      <c r="F27" s="10">
        <f t="shared" si="3"/>
        <v>2.059538553</v>
      </c>
      <c r="G27" s="11">
        <f t="shared" si="4"/>
        <v>144.74</v>
      </c>
      <c r="H27" s="10">
        <f t="shared" si="5"/>
        <v>398.458</v>
      </c>
      <c r="I27" s="10">
        <f t="shared" si="6"/>
        <v>160.94</v>
      </c>
      <c r="J27" s="12">
        <f t="shared" si="7"/>
        <v>111.192</v>
      </c>
      <c r="K27" s="17">
        <f t="shared" si="8"/>
        <v>0.902</v>
      </c>
      <c r="L27" s="10">
        <f t="shared" si="9"/>
        <v>0.161</v>
      </c>
      <c r="M27" s="10">
        <f t="shared" si="10"/>
        <v>0.06502930732</v>
      </c>
      <c r="N27" s="18">
        <f t="shared" si="11"/>
        <v>7.21</v>
      </c>
      <c r="O27" s="9">
        <f t="shared" si="12"/>
        <v>38</v>
      </c>
      <c r="P27" s="9">
        <f t="shared" si="13"/>
        <v>68.42</v>
      </c>
    </row>
    <row r="28">
      <c r="A28" s="8">
        <v>27.0</v>
      </c>
      <c r="B28" s="15">
        <v>0.002</v>
      </c>
      <c r="C28" s="8">
        <v>0.174</v>
      </c>
      <c r="D28" s="9">
        <f t="shared" si="1"/>
        <v>50.46</v>
      </c>
      <c r="E28" s="16">
        <f t="shared" si="2"/>
        <v>0.83</v>
      </c>
      <c r="F28" s="10">
        <f t="shared" si="3"/>
        <v>2.055529439</v>
      </c>
      <c r="G28" s="11">
        <f t="shared" si="4"/>
        <v>141.25</v>
      </c>
      <c r="H28" s="10">
        <f t="shared" si="5"/>
        <v>391.141</v>
      </c>
      <c r="I28" s="10">
        <f t="shared" si="6"/>
        <v>154.73</v>
      </c>
      <c r="J28" s="12">
        <f t="shared" si="7"/>
        <v>109.543</v>
      </c>
      <c r="K28" s="17">
        <f t="shared" si="8"/>
        <v>0.899</v>
      </c>
      <c r="L28" s="10">
        <f t="shared" si="9"/>
        <v>0.158</v>
      </c>
      <c r="M28" s="10">
        <f t="shared" si="10"/>
        <v>0.06250271834</v>
      </c>
      <c r="N28" s="18">
        <f t="shared" si="11"/>
        <v>6.95</v>
      </c>
      <c r="O28" s="9">
        <f t="shared" si="12"/>
        <v>38</v>
      </c>
      <c r="P28" s="9">
        <f t="shared" si="13"/>
        <v>71.05</v>
      </c>
    </row>
    <row r="29">
      <c r="A29" s="8">
        <v>28.0</v>
      </c>
      <c r="B29" s="15">
        <v>0.003</v>
      </c>
      <c r="C29" s="8">
        <v>0.218</v>
      </c>
      <c r="D29" s="9">
        <f t="shared" si="1"/>
        <v>61.8</v>
      </c>
      <c r="E29" s="16">
        <f t="shared" si="2"/>
        <v>0.79</v>
      </c>
      <c r="F29" s="10">
        <f t="shared" si="3"/>
        <v>2.051830516</v>
      </c>
      <c r="G29" s="11">
        <f t="shared" si="4"/>
        <v>138.41</v>
      </c>
      <c r="H29" s="10">
        <f t="shared" si="5"/>
        <v>384.123</v>
      </c>
      <c r="I29" s="10">
        <f t="shared" si="6"/>
        <v>148.95</v>
      </c>
      <c r="J29" s="12">
        <f t="shared" si="7"/>
        <v>107.615</v>
      </c>
      <c r="K29" s="17">
        <f t="shared" si="8"/>
        <v>0.895</v>
      </c>
      <c r="L29" s="10">
        <f t="shared" si="9"/>
        <v>0.157</v>
      </c>
      <c r="M29" s="10">
        <f t="shared" si="10"/>
        <v>0.06087824463</v>
      </c>
      <c r="N29" s="18">
        <f t="shared" si="11"/>
        <v>6.8</v>
      </c>
      <c r="O29" s="9">
        <f t="shared" si="12"/>
        <v>38</v>
      </c>
      <c r="P29" s="9">
        <f t="shared" si="13"/>
        <v>73.68</v>
      </c>
    </row>
    <row r="30">
      <c r="A30" s="8">
        <v>29.0</v>
      </c>
      <c r="B30" s="15">
        <v>9.548E-4</v>
      </c>
      <c r="C30" s="8">
        <v>0.111</v>
      </c>
      <c r="D30" s="9">
        <f t="shared" si="1"/>
        <v>34.87</v>
      </c>
      <c r="E30" s="16">
        <f t="shared" si="2"/>
        <v>0.97</v>
      </c>
      <c r="F30" s="10">
        <f t="shared" si="3"/>
        <v>2.048407142</v>
      </c>
      <c r="G30" s="11">
        <f t="shared" si="4"/>
        <v>134.84</v>
      </c>
      <c r="H30" s="10">
        <f t="shared" si="5"/>
        <v>377.691</v>
      </c>
      <c r="I30" s="10">
        <f t="shared" si="6"/>
        <v>143.67</v>
      </c>
      <c r="J30" s="12">
        <f t="shared" si="7"/>
        <v>106.549</v>
      </c>
      <c r="K30" s="17">
        <f t="shared" si="8"/>
        <v>0.898</v>
      </c>
      <c r="L30" s="10">
        <f t="shared" si="9"/>
        <v>0.154</v>
      </c>
      <c r="M30" s="10">
        <f t="shared" si="10"/>
        <v>0.05857846717</v>
      </c>
      <c r="N30" s="18">
        <f t="shared" si="11"/>
        <v>6.52</v>
      </c>
      <c r="O30" s="9">
        <f t="shared" si="12"/>
        <v>38</v>
      </c>
      <c r="P30" s="9">
        <f t="shared" si="13"/>
        <v>76.32</v>
      </c>
    </row>
    <row r="31">
      <c r="A31" s="8">
        <v>30.0</v>
      </c>
      <c r="B31" s="15">
        <v>5.092E-4</v>
      </c>
      <c r="C31" s="8">
        <v>0.082</v>
      </c>
      <c r="D31" s="9">
        <f t="shared" si="1"/>
        <v>25.46</v>
      </c>
      <c r="E31" s="16">
        <f t="shared" si="2"/>
        <v>0.95</v>
      </c>
      <c r="F31" s="10">
        <f t="shared" si="3"/>
        <v>2.045229642</v>
      </c>
      <c r="G31" s="11">
        <f t="shared" si="4"/>
        <v>131.19</v>
      </c>
      <c r="H31" s="10">
        <f t="shared" si="5"/>
        <v>371.659</v>
      </c>
      <c r="I31" s="10">
        <f t="shared" si="6"/>
        <v>138.78</v>
      </c>
      <c r="J31" s="12">
        <f t="shared" si="7"/>
        <v>105.786</v>
      </c>
      <c r="K31" s="17">
        <f t="shared" si="8"/>
        <v>0.899</v>
      </c>
      <c r="L31" s="10">
        <f t="shared" si="9"/>
        <v>0.152</v>
      </c>
      <c r="M31" s="10">
        <f t="shared" si="10"/>
        <v>0.05675773279</v>
      </c>
      <c r="N31" s="18">
        <f t="shared" si="11"/>
        <v>6.31</v>
      </c>
      <c r="O31" s="9">
        <f t="shared" si="12"/>
        <v>38</v>
      </c>
      <c r="P31" s="9">
        <f t="shared" si="13"/>
        <v>78.95</v>
      </c>
    </row>
    <row r="32">
      <c r="A32" s="8">
        <v>31.0</v>
      </c>
      <c r="B32" s="15">
        <v>0.003</v>
      </c>
      <c r="C32" s="8">
        <v>0.189</v>
      </c>
      <c r="D32" s="9">
        <f t="shared" si="1"/>
        <v>61.8</v>
      </c>
      <c r="E32" s="16">
        <f t="shared" si="2"/>
        <v>1.06</v>
      </c>
      <c r="F32" s="10">
        <f t="shared" si="3"/>
        <v>2.042272456</v>
      </c>
      <c r="G32" s="11">
        <f t="shared" si="4"/>
        <v>128.95</v>
      </c>
      <c r="H32" s="10">
        <f t="shared" si="5"/>
        <v>365.624</v>
      </c>
      <c r="I32" s="10">
        <f t="shared" si="6"/>
        <v>134.11</v>
      </c>
      <c r="J32" s="12">
        <f t="shared" si="7"/>
        <v>104.002</v>
      </c>
      <c r="K32" s="17">
        <f t="shared" si="8"/>
        <v>0.905</v>
      </c>
      <c r="L32" s="10">
        <f t="shared" si="9"/>
        <v>0.152</v>
      </c>
      <c r="M32" s="10">
        <f t="shared" si="10"/>
        <v>0.05575405012</v>
      </c>
      <c r="N32" s="18">
        <f t="shared" si="11"/>
        <v>6.16</v>
      </c>
      <c r="O32" s="9">
        <f t="shared" si="12"/>
        <v>38</v>
      </c>
      <c r="P32" s="9">
        <f t="shared" si="13"/>
        <v>81.58</v>
      </c>
    </row>
    <row r="33">
      <c r="A33" s="8">
        <v>32.0</v>
      </c>
      <c r="B33" s="15">
        <v>0.002</v>
      </c>
      <c r="C33" s="8">
        <v>0.172</v>
      </c>
      <c r="D33" s="9">
        <f t="shared" si="1"/>
        <v>50.46</v>
      </c>
      <c r="E33" s="16">
        <f t="shared" si="2"/>
        <v>0.85</v>
      </c>
      <c r="F33" s="10">
        <f t="shared" si="3"/>
        <v>2.039513446</v>
      </c>
      <c r="G33" s="11">
        <f t="shared" si="4"/>
        <v>126.5</v>
      </c>
      <c r="H33" s="10">
        <f t="shared" si="5"/>
        <v>359.946</v>
      </c>
      <c r="I33" s="10">
        <f t="shared" si="6"/>
        <v>129.77</v>
      </c>
      <c r="J33" s="12">
        <f t="shared" si="7"/>
        <v>102.585</v>
      </c>
      <c r="K33" s="17">
        <f t="shared" si="8"/>
        <v>0.903</v>
      </c>
      <c r="L33" s="10">
        <f t="shared" si="9"/>
        <v>0.15</v>
      </c>
      <c r="M33" s="10">
        <f t="shared" si="10"/>
        <v>0.05408076706</v>
      </c>
      <c r="N33" s="18">
        <f t="shared" si="11"/>
        <v>5.99</v>
      </c>
      <c r="O33" s="9">
        <f t="shared" si="12"/>
        <v>38</v>
      </c>
      <c r="P33" s="9">
        <f t="shared" si="13"/>
        <v>84.21</v>
      </c>
    </row>
    <row r="34">
      <c r="A34" s="8">
        <v>33.0</v>
      </c>
      <c r="B34" s="8">
        <v>0.002</v>
      </c>
      <c r="C34" s="8">
        <v>0.148</v>
      </c>
      <c r="D34" s="9">
        <f t="shared" si="1"/>
        <v>50.46</v>
      </c>
      <c r="E34" s="9">
        <f t="shared" si="2"/>
        <v>1.15</v>
      </c>
      <c r="F34" s="10">
        <f t="shared" si="3"/>
        <v>2.036933343</v>
      </c>
      <c r="G34" s="11">
        <f t="shared" si="4"/>
        <v>124.2</v>
      </c>
      <c r="H34" s="10">
        <f t="shared" si="5"/>
        <v>354.525</v>
      </c>
      <c r="I34" s="10">
        <f t="shared" si="6"/>
        <v>125.71</v>
      </c>
      <c r="J34" s="12">
        <f t="shared" si="7"/>
        <v>101.216</v>
      </c>
      <c r="K34" s="17">
        <f t="shared" si="8"/>
        <v>0.91</v>
      </c>
      <c r="L34" s="10">
        <f t="shared" si="9"/>
        <v>0.154</v>
      </c>
      <c r="M34" s="10">
        <f t="shared" si="10"/>
        <v>0.05460602559</v>
      </c>
      <c r="N34" s="18">
        <f t="shared" si="11"/>
        <v>6</v>
      </c>
      <c r="O34" s="9">
        <f t="shared" si="12"/>
        <v>38</v>
      </c>
      <c r="P34" s="9">
        <f t="shared" si="13"/>
        <v>86.84</v>
      </c>
    </row>
    <row r="35">
      <c r="A35" s="8">
        <v>34.0</v>
      </c>
      <c r="B35" s="8">
        <v>0.005</v>
      </c>
      <c r="C35" s="8">
        <v>0.262</v>
      </c>
      <c r="D35" s="9">
        <f t="shared" si="1"/>
        <v>79.79</v>
      </c>
      <c r="E35" s="9">
        <f t="shared" si="2"/>
        <v>0.92</v>
      </c>
      <c r="F35" s="10">
        <f t="shared" si="3"/>
        <v>2.034515297</v>
      </c>
      <c r="G35" s="11">
        <f t="shared" si="4"/>
        <v>122.89</v>
      </c>
      <c r="H35" s="10">
        <f t="shared" si="5"/>
        <v>349.195</v>
      </c>
      <c r="I35" s="10">
        <f t="shared" si="6"/>
        <v>121.84</v>
      </c>
      <c r="J35" s="12">
        <f t="shared" si="7"/>
        <v>99.146</v>
      </c>
      <c r="K35" s="17">
        <f t="shared" si="8"/>
        <v>0.911</v>
      </c>
      <c r="L35" s="10">
        <f t="shared" si="9"/>
        <v>0.151</v>
      </c>
      <c r="M35" s="10">
        <f t="shared" si="10"/>
        <v>0.05268639074</v>
      </c>
      <c r="N35" s="18">
        <f t="shared" si="11"/>
        <v>5.78</v>
      </c>
      <c r="O35" s="9">
        <f t="shared" si="12"/>
        <v>38</v>
      </c>
      <c r="P35" s="9">
        <f t="shared" si="13"/>
        <v>89.47</v>
      </c>
    </row>
    <row r="36">
      <c r="A36" s="8">
        <v>35.0</v>
      </c>
      <c r="B36" s="8">
        <v>0.005</v>
      </c>
      <c r="C36" s="8">
        <v>0.258</v>
      </c>
      <c r="D36" s="9">
        <f t="shared" si="1"/>
        <v>79.79</v>
      </c>
      <c r="E36" s="9">
        <f t="shared" si="2"/>
        <v>0.94</v>
      </c>
      <c r="F36" s="10">
        <f t="shared" si="3"/>
        <v>2.032244509</v>
      </c>
      <c r="G36" s="11">
        <f t="shared" si="4"/>
        <v>121.66</v>
      </c>
      <c r="H36" s="10">
        <f t="shared" si="5"/>
        <v>344.098</v>
      </c>
      <c r="I36" s="10">
        <f t="shared" si="6"/>
        <v>118.2</v>
      </c>
      <c r="J36" s="12">
        <f t="shared" si="7"/>
        <v>97.156</v>
      </c>
      <c r="K36" s="17">
        <f t="shared" si="8"/>
        <v>0.911</v>
      </c>
      <c r="L36" s="10">
        <f t="shared" si="9"/>
        <v>0.149</v>
      </c>
      <c r="M36" s="10">
        <f t="shared" si="10"/>
        <v>0.05118329079</v>
      </c>
      <c r="N36" s="18">
        <f t="shared" si="11"/>
        <v>5.62</v>
      </c>
      <c r="O36" s="9">
        <f t="shared" si="12"/>
        <v>38</v>
      </c>
      <c r="P36" s="9">
        <f t="shared" si="13"/>
        <v>92.11</v>
      </c>
    </row>
    <row r="37">
      <c r="A37" s="8">
        <v>36.0</v>
      </c>
      <c r="B37" s="15">
        <v>0.002</v>
      </c>
      <c r="C37" s="8">
        <v>0.174</v>
      </c>
      <c r="D37" s="9">
        <f t="shared" si="1"/>
        <v>50.46</v>
      </c>
      <c r="E37" s="16">
        <f t="shared" si="2"/>
        <v>0.83</v>
      </c>
      <c r="F37" s="10">
        <f t="shared" si="3"/>
        <v>2.030107928</v>
      </c>
      <c r="G37" s="11">
        <f t="shared" si="4"/>
        <v>119.68</v>
      </c>
      <c r="H37" s="10">
        <f t="shared" si="5"/>
        <v>339.355</v>
      </c>
      <c r="I37" s="10">
        <f t="shared" si="6"/>
        <v>114.82</v>
      </c>
      <c r="J37" s="12">
        <f t="shared" si="7"/>
        <v>95.939</v>
      </c>
      <c r="K37" s="17">
        <f t="shared" si="8"/>
        <v>0.909</v>
      </c>
      <c r="L37" s="10">
        <f t="shared" si="9"/>
        <v>0.148</v>
      </c>
      <c r="M37" s="10">
        <f t="shared" si="10"/>
        <v>0.05007599556</v>
      </c>
      <c r="N37" s="18">
        <f t="shared" si="11"/>
        <v>5.51</v>
      </c>
      <c r="O37" s="9">
        <f t="shared" si="12"/>
        <v>38</v>
      </c>
      <c r="P37" s="9">
        <f t="shared" si="13"/>
        <v>94.74</v>
      </c>
    </row>
    <row r="38">
      <c r="A38" s="8">
        <v>37.0</v>
      </c>
      <c r="B38" s="15">
        <v>0.003</v>
      </c>
      <c r="C38" s="8">
        <v>0.213</v>
      </c>
      <c r="D38" s="9">
        <f t="shared" si="1"/>
        <v>61.8</v>
      </c>
      <c r="E38" s="16">
        <f t="shared" si="2"/>
        <v>0.83</v>
      </c>
      <c r="F38" s="10">
        <f t="shared" si="3"/>
        <v>2.028094001</v>
      </c>
      <c r="G38" s="11">
        <f t="shared" si="4"/>
        <v>118.12</v>
      </c>
      <c r="H38" s="10">
        <f t="shared" si="5"/>
        <v>334.743</v>
      </c>
      <c r="I38" s="10">
        <f t="shared" si="6"/>
        <v>111.61</v>
      </c>
      <c r="J38" s="12">
        <f t="shared" si="7"/>
        <v>94.489</v>
      </c>
      <c r="K38" s="17">
        <f t="shared" si="8"/>
        <v>0.907</v>
      </c>
      <c r="L38" s="10">
        <f t="shared" si="9"/>
        <v>0.146</v>
      </c>
      <c r="M38" s="10">
        <f t="shared" si="10"/>
        <v>0.04867882359</v>
      </c>
      <c r="N38" s="18">
        <f t="shared" si="11"/>
        <v>5.37</v>
      </c>
      <c r="O38" s="9">
        <f t="shared" si="12"/>
        <v>38</v>
      </c>
      <c r="P38" s="9">
        <f t="shared" si="13"/>
        <v>97.37</v>
      </c>
    </row>
    <row r="39">
      <c r="A39" s="8">
        <v>38.0</v>
      </c>
      <c r="B39" s="8">
        <v>0.001</v>
      </c>
      <c r="C39" s="8">
        <v>0.138</v>
      </c>
      <c r="D39" s="9">
        <f t="shared" si="1"/>
        <v>35.68</v>
      </c>
      <c r="E39" s="9">
        <f t="shared" si="2"/>
        <v>0.66</v>
      </c>
      <c r="F39" s="10">
        <f t="shared" si="3"/>
        <v>2.026192463</v>
      </c>
      <c r="G39" s="11">
        <f t="shared" si="4"/>
        <v>115.95</v>
      </c>
      <c r="H39" s="10">
        <f t="shared" si="5"/>
        <v>330.46</v>
      </c>
      <c r="I39" s="10">
        <f t="shared" si="6"/>
        <v>108.62</v>
      </c>
      <c r="J39" s="12">
        <f t="shared" si="7"/>
        <v>93.678</v>
      </c>
      <c r="K39" s="17">
        <f t="shared" si="8"/>
        <v>0.901</v>
      </c>
      <c r="L39" s="10">
        <f t="shared" si="9"/>
        <v>0.15</v>
      </c>
      <c r="M39" s="10">
        <f t="shared" si="10"/>
        <v>0.04930377313</v>
      </c>
      <c r="N39" s="18">
        <f t="shared" si="11"/>
        <v>5.47</v>
      </c>
      <c r="O39" s="9">
        <f t="shared" si="12"/>
        <v>38</v>
      </c>
      <c r="P39" s="9">
        <f t="shared" si="13"/>
        <v>100</v>
      </c>
    </row>
    <row r="40">
      <c r="D40" s="9"/>
      <c r="E40" s="9"/>
      <c r="F40" s="10"/>
      <c r="G40" s="11"/>
      <c r="H40" s="10"/>
      <c r="I40" s="10"/>
      <c r="J40" s="12"/>
      <c r="K40" s="13"/>
      <c r="L40" s="10"/>
      <c r="M40" s="10"/>
      <c r="N40" s="14"/>
      <c r="O40" s="9"/>
      <c r="P40" s="9"/>
    </row>
    <row r="41">
      <c r="B41" s="15"/>
      <c r="D41" s="9"/>
      <c r="E41" s="9"/>
      <c r="F41" s="10"/>
      <c r="G41" s="11"/>
      <c r="H41" s="10"/>
      <c r="I41" s="10"/>
      <c r="J41" s="12"/>
      <c r="K41" s="13"/>
      <c r="L41" s="10"/>
      <c r="M41" s="10"/>
      <c r="N41" s="14"/>
      <c r="O41" s="9"/>
      <c r="P41" s="9"/>
    </row>
    <row r="42">
      <c r="B42" s="15"/>
      <c r="D42" s="9"/>
      <c r="E42" s="9"/>
      <c r="F42" s="10"/>
      <c r="G42" s="11"/>
      <c r="H42" s="10"/>
      <c r="I42" s="10"/>
      <c r="J42" s="12"/>
      <c r="K42" s="13"/>
      <c r="L42" s="10"/>
      <c r="M42" s="10"/>
      <c r="N42" s="14"/>
      <c r="O42" s="9"/>
      <c r="P42" s="9"/>
    </row>
    <row r="43">
      <c r="D43" s="9"/>
      <c r="E43" s="9"/>
      <c r="F43" s="10"/>
      <c r="G43" s="11"/>
      <c r="H43" s="10"/>
      <c r="I43" s="10"/>
      <c r="J43" s="12"/>
      <c r="K43" s="13"/>
      <c r="L43" s="10"/>
      <c r="M43" s="10"/>
      <c r="N43" s="14"/>
      <c r="O43" s="9"/>
      <c r="P43" s="9"/>
    </row>
    <row r="44">
      <c r="B44" s="15"/>
      <c r="D44" s="9"/>
      <c r="E44" s="9"/>
      <c r="F44" s="10"/>
      <c r="G44" s="11"/>
      <c r="H44" s="10"/>
      <c r="I44" s="10"/>
      <c r="J44" s="12"/>
      <c r="K44" s="13"/>
      <c r="L44" s="10"/>
      <c r="M44" s="10"/>
      <c r="N44" s="14"/>
      <c r="O44" s="9"/>
      <c r="P44" s="9"/>
    </row>
    <row r="45">
      <c r="D45" s="9"/>
      <c r="E45" s="9"/>
      <c r="F45" s="10"/>
      <c r="G45" s="11"/>
      <c r="H45" s="10"/>
      <c r="I45" s="10"/>
      <c r="J45" s="12"/>
      <c r="K45" s="13"/>
      <c r="L45" s="10"/>
      <c r="M45" s="10"/>
      <c r="N45" s="14"/>
      <c r="O45" s="9"/>
      <c r="P45" s="9"/>
    </row>
    <row r="46">
      <c r="D46" s="9"/>
      <c r="E46" s="9"/>
      <c r="F46" s="10"/>
      <c r="G46" s="11"/>
      <c r="H46" s="10"/>
      <c r="I46" s="10"/>
      <c r="J46" s="12"/>
      <c r="K46" s="13"/>
      <c r="L46" s="10"/>
      <c r="M46" s="10"/>
      <c r="N46" s="14"/>
      <c r="O46" s="9"/>
      <c r="P46" s="9"/>
    </row>
    <row r="47">
      <c r="B47" s="15"/>
      <c r="D47" s="9"/>
      <c r="E47" s="9"/>
      <c r="F47" s="10"/>
      <c r="G47" s="11"/>
      <c r="H47" s="10"/>
      <c r="I47" s="10"/>
      <c r="J47" s="12"/>
      <c r="K47" s="13"/>
      <c r="L47" s="10"/>
      <c r="M47" s="10"/>
      <c r="N47" s="14"/>
      <c r="O47" s="9"/>
      <c r="P47" s="9"/>
    </row>
    <row r="48">
      <c r="B48" s="15"/>
      <c r="D48" s="9"/>
      <c r="E48" s="9"/>
      <c r="F48" s="10"/>
      <c r="G48" s="11"/>
      <c r="H48" s="10"/>
      <c r="I48" s="10"/>
      <c r="J48" s="12"/>
      <c r="K48" s="13"/>
      <c r="L48" s="10"/>
      <c r="M48" s="10"/>
      <c r="N48" s="14"/>
      <c r="O48" s="9"/>
      <c r="P48" s="9"/>
    </row>
    <row r="49">
      <c r="D49" s="9"/>
      <c r="E49" s="9"/>
      <c r="F49" s="10"/>
      <c r="G49" s="11"/>
      <c r="H49" s="10"/>
      <c r="I49" s="10"/>
      <c r="J49" s="12"/>
      <c r="K49" s="13"/>
      <c r="L49" s="10"/>
      <c r="M49" s="10"/>
      <c r="N49" s="14"/>
      <c r="O49" s="9"/>
      <c r="P49" s="9"/>
    </row>
    <row r="50">
      <c r="D50" s="9"/>
      <c r="E50" s="9"/>
      <c r="F50" s="10"/>
      <c r="G50" s="11"/>
      <c r="H50" s="10"/>
      <c r="I50" s="10"/>
      <c r="J50" s="12"/>
      <c r="K50" s="13"/>
      <c r="L50" s="10"/>
      <c r="M50" s="10"/>
      <c r="N50" s="14"/>
      <c r="O50" s="9"/>
      <c r="P50" s="9"/>
    </row>
    <row r="51">
      <c r="D51" s="9"/>
      <c r="E51" s="9"/>
      <c r="F51" s="10"/>
      <c r="G51" s="11"/>
      <c r="H51" s="10"/>
      <c r="I51" s="10"/>
      <c r="J51" s="12"/>
      <c r="K51" s="13"/>
      <c r="L51" s="10"/>
      <c r="M51" s="10"/>
      <c r="N51" s="14"/>
      <c r="O51" s="9"/>
      <c r="P51" s="9"/>
    </row>
    <row r="52">
      <c r="B52" s="15"/>
      <c r="D52" s="9"/>
      <c r="E52" s="9"/>
      <c r="F52" s="10"/>
      <c r="G52" s="11"/>
      <c r="H52" s="10"/>
      <c r="I52" s="10"/>
      <c r="J52" s="12"/>
      <c r="K52" s="13"/>
      <c r="L52" s="10"/>
      <c r="M52" s="10"/>
      <c r="N52" s="14"/>
      <c r="O52" s="9"/>
      <c r="P52" s="9"/>
    </row>
    <row r="53">
      <c r="D53" s="9"/>
      <c r="E53" s="9"/>
      <c r="F53" s="10"/>
      <c r="G53" s="11"/>
      <c r="H53" s="10"/>
      <c r="I53" s="10"/>
      <c r="J53" s="12"/>
      <c r="K53" s="13"/>
      <c r="L53" s="10"/>
      <c r="M53" s="10"/>
      <c r="N53" s="14"/>
      <c r="O53" s="9"/>
      <c r="P53" s="9"/>
    </row>
    <row r="54">
      <c r="B54" s="15"/>
      <c r="D54" s="9"/>
      <c r="E54" s="9"/>
      <c r="F54" s="10"/>
      <c r="G54" s="11"/>
      <c r="H54" s="10"/>
      <c r="I54" s="10"/>
      <c r="J54" s="12"/>
      <c r="K54" s="13"/>
      <c r="L54" s="10"/>
      <c r="M54" s="10"/>
      <c r="N54" s="14"/>
      <c r="O54" s="9"/>
      <c r="P54" s="9"/>
    </row>
    <row r="55">
      <c r="D55" s="9"/>
      <c r="E55" s="9"/>
      <c r="F55" s="10"/>
      <c r="G55" s="11"/>
      <c r="H55" s="10"/>
      <c r="I55" s="10"/>
      <c r="J55" s="12"/>
      <c r="K55" s="13"/>
      <c r="L55" s="10"/>
      <c r="M55" s="10"/>
      <c r="N55" s="14"/>
      <c r="O55" s="9"/>
      <c r="P55" s="9"/>
    </row>
    <row r="56">
      <c r="B56" s="15"/>
      <c r="D56" s="9"/>
      <c r="E56" s="9"/>
      <c r="F56" s="10"/>
      <c r="G56" s="11"/>
      <c r="H56" s="10"/>
      <c r="I56" s="10"/>
      <c r="J56" s="12"/>
      <c r="K56" s="13"/>
      <c r="L56" s="10"/>
      <c r="M56" s="10"/>
      <c r="N56" s="14"/>
      <c r="O56" s="9"/>
      <c r="P56" s="9"/>
    </row>
    <row r="57">
      <c r="B57" s="15"/>
      <c r="D57" s="9"/>
      <c r="E57" s="9"/>
      <c r="F57" s="10"/>
      <c r="G57" s="11"/>
      <c r="H57" s="10"/>
      <c r="I57" s="10"/>
      <c r="J57" s="12"/>
      <c r="K57" s="13"/>
      <c r="L57" s="10"/>
      <c r="M57" s="10"/>
      <c r="N57" s="14"/>
      <c r="O57" s="9"/>
      <c r="P57" s="9"/>
    </row>
    <row r="58">
      <c r="D58" s="9"/>
      <c r="E58" s="9"/>
      <c r="F58" s="10"/>
      <c r="G58" s="11"/>
      <c r="H58" s="10"/>
      <c r="I58" s="10"/>
      <c r="J58" s="12"/>
      <c r="K58" s="13"/>
      <c r="L58" s="10"/>
      <c r="M58" s="10"/>
      <c r="N58" s="14"/>
      <c r="O58" s="9"/>
      <c r="P58" s="9"/>
    </row>
    <row r="59">
      <c r="D59" s="9"/>
      <c r="E59" s="9"/>
      <c r="F59" s="10"/>
      <c r="G59" s="11"/>
      <c r="H59" s="10"/>
      <c r="I59" s="10"/>
      <c r="J59" s="12"/>
      <c r="K59" s="13"/>
      <c r="L59" s="10"/>
      <c r="M59" s="10"/>
      <c r="N59" s="14"/>
      <c r="O59" s="9"/>
      <c r="P59" s="9"/>
    </row>
    <row r="60">
      <c r="D60" s="9"/>
      <c r="E60" s="9"/>
      <c r="F60" s="10"/>
      <c r="G60" s="11"/>
      <c r="H60" s="10"/>
      <c r="I60" s="10"/>
      <c r="J60" s="12"/>
      <c r="K60" s="13"/>
      <c r="L60" s="10"/>
      <c r="M60" s="10"/>
      <c r="N60" s="14"/>
      <c r="O60" s="9"/>
      <c r="P60" s="9"/>
    </row>
    <row r="61">
      <c r="B61" s="15"/>
      <c r="D61" s="9"/>
      <c r="E61" s="9"/>
      <c r="F61" s="10"/>
      <c r="G61" s="11"/>
      <c r="H61" s="10"/>
      <c r="I61" s="10"/>
      <c r="J61" s="12"/>
      <c r="K61" s="13"/>
      <c r="L61" s="10"/>
      <c r="M61" s="10"/>
      <c r="N61" s="14"/>
      <c r="O61" s="9"/>
      <c r="P61" s="9"/>
    </row>
    <row r="62">
      <c r="B62" s="15"/>
      <c r="D62" s="9"/>
      <c r="E62" s="9"/>
      <c r="F62" s="10"/>
      <c r="G62" s="11"/>
      <c r="H62" s="10"/>
      <c r="I62" s="10"/>
      <c r="J62" s="12"/>
      <c r="K62" s="13"/>
      <c r="L62" s="10"/>
      <c r="M62" s="10"/>
      <c r="N62" s="14"/>
      <c r="O62" s="9"/>
      <c r="P62" s="9"/>
    </row>
    <row r="63">
      <c r="B63" s="15"/>
      <c r="D63" s="9"/>
      <c r="E63" s="9"/>
      <c r="F63" s="10"/>
      <c r="G63" s="11"/>
      <c r="H63" s="10"/>
      <c r="I63" s="10"/>
      <c r="J63" s="12"/>
      <c r="K63" s="13"/>
      <c r="L63" s="10"/>
      <c r="M63" s="10"/>
      <c r="N63" s="14"/>
      <c r="O63" s="9"/>
      <c r="P63" s="9"/>
    </row>
    <row r="64">
      <c r="B64" s="15"/>
      <c r="D64" s="9"/>
      <c r="E64" s="9"/>
      <c r="F64" s="10"/>
      <c r="G64" s="11"/>
      <c r="H64" s="10"/>
      <c r="I64" s="10"/>
      <c r="J64" s="12"/>
      <c r="K64" s="13"/>
      <c r="L64" s="10"/>
      <c r="M64" s="10"/>
      <c r="N64" s="14"/>
      <c r="O64" s="9"/>
      <c r="P64" s="9"/>
    </row>
    <row r="65">
      <c r="B65" s="15"/>
      <c r="D65" s="9"/>
      <c r="E65" s="9"/>
      <c r="F65" s="10"/>
      <c r="G65" s="11"/>
      <c r="H65" s="10"/>
      <c r="I65" s="10"/>
      <c r="J65" s="12"/>
      <c r="K65" s="13"/>
      <c r="L65" s="10"/>
      <c r="M65" s="10"/>
      <c r="N65" s="14"/>
      <c r="O65" s="9"/>
      <c r="P65" s="9"/>
    </row>
    <row r="66">
      <c r="B66" s="15"/>
      <c r="D66" s="9"/>
      <c r="E66" s="9"/>
      <c r="F66" s="10"/>
      <c r="G66" s="11"/>
      <c r="H66" s="10"/>
      <c r="I66" s="10"/>
      <c r="J66" s="12"/>
      <c r="K66" s="13"/>
      <c r="L66" s="10"/>
      <c r="M66" s="10"/>
      <c r="N66" s="14"/>
      <c r="O66" s="9"/>
      <c r="P66" s="9"/>
    </row>
    <row r="67">
      <c r="B67" s="15"/>
      <c r="D67" s="9"/>
      <c r="E67" s="9"/>
      <c r="F67" s="10"/>
      <c r="G67" s="11"/>
      <c r="H67" s="10"/>
      <c r="I67" s="10"/>
      <c r="J67" s="12"/>
      <c r="K67" s="13"/>
      <c r="L67" s="10"/>
      <c r="M67" s="10"/>
      <c r="N67" s="14"/>
      <c r="O67" s="9"/>
      <c r="P67" s="9"/>
    </row>
    <row r="68">
      <c r="D68" s="9"/>
      <c r="E68" s="9"/>
      <c r="F68" s="10"/>
      <c r="G68" s="11"/>
      <c r="H68" s="10"/>
      <c r="I68" s="10"/>
      <c r="J68" s="12"/>
      <c r="K68" s="13"/>
      <c r="L68" s="10"/>
      <c r="M68" s="10"/>
      <c r="N68" s="14"/>
      <c r="O68" s="9"/>
      <c r="P68" s="9"/>
    </row>
    <row r="69">
      <c r="B69" s="15"/>
      <c r="D69" s="9"/>
      <c r="E69" s="9"/>
      <c r="F69" s="10"/>
      <c r="G69" s="11"/>
      <c r="H69" s="10"/>
      <c r="I69" s="10"/>
      <c r="J69" s="12"/>
      <c r="K69" s="13"/>
      <c r="L69" s="10"/>
      <c r="M69" s="10"/>
      <c r="N69" s="14"/>
      <c r="O69" s="9"/>
      <c r="P69" s="9"/>
    </row>
    <row r="70">
      <c r="B70" s="15"/>
      <c r="D70" s="9"/>
      <c r="E70" s="9"/>
      <c r="F70" s="10"/>
      <c r="G70" s="11"/>
      <c r="H70" s="10"/>
      <c r="I70" s="10"/>
      <c r="J70" s="12"/>
      <c r="K70" s="13"/>
      <c r="L70" s="10"/>
      <c r="M70" s="10"/>
      <c r="N70" s="14"/>
      <c r="O70" s="9"/>
      <c r="P70" s="9"/>
    </row>
    <row r="71">
      <c r="B71" s="15"/>
      <c r="D71" s="9"/>
      <c r="E71" s="9"/>
      <c r="F71" s="10"/>
      <c r="G71" s="11"/>
      <c r="H71" s="10"/>
      <c r="I71" s="10"/>
      <c r="J71" s="12"/>
      <c r="K71" s="13"/>
      <c r="L71" s="10"/>
      <c r="M71" s="10"/>
      <c r="N71" s="14"/>
      <c r="O71" s="9"/>
      <c r="P71" s="9"/>
    </row>
    <row r="72">
      <c r="B72" s="15"/>
      <c r="D72" s="9"/>
      <c r="E72" s="9"/>
      <c r="F72" s="10"/>
      <c r="G72" s="11"/>
      <c r="H72" s="10"/>
      <c r="I72" s="10"/>
      <c r="J72" s="12"/>
      <c r="K72" s="13"/>
      <c r="L72" s="10"/>
      <c r="M72" s="10"/>
      <c r="N72" s="14"/>
      <c r="O72" s="9"/>
      <c r="P72" s="9"/>
    </row>
    <row r="73">
      <c r="B73" s="15"/>
      <c r="D73" s="9"/>
      <c r="E73" s="9"/>
      <c r="F73" s="10"/>
      <c r="G73" s="11"/>
      <c r="H73" s="10"/>
      <c r="I73" s="10"/>
      <c r="J73" s="12"/>
      <c r="K73" s="13"/>
      <c r="L73" s="10"/>
      <c r="M73" s="10"/>
      <c r="N73" s="14"/>
      <c r="O73" s="9"/>
      <c r="P73" s="9"/>
    </row>
    <row r="74">
      <c r="B74" s="15"/>
      <c r="D74" s="9"/>
      <c r="E74" s="9"/>
      <c r="F74" s="10"/>
      <c r="G74" s="11"/>
      <c r="H74" s="10"/>
      <c r="I74" s="10"/>
      <c r="J74" s="12"/>
      <c r="K74" s="13"/>
      <c r="L74" s="10"/>
      <c r="M74" s="10"/>
      <c r="N74" s="14"/>
      <c r="O74" s="9"/>
      <c r="P74" s="9"/>
    </row>
    <row r="75">
      <c r="B75" s="15"/>
      <c r="D75" s="9"/>
      <c r="E75" s="9"/>
      <c r="F75" s="10"/>
      <c r="G75" s="11"/>
      <c r="H75" s="10"/>
      <c r="I75" s="10"/>
      <c r="J75" s="12"/>
      <c r="K75" s="13"/>
      <c r="L75" s="10"/>
      <c r="M75" s="10"/>
      <c r="N75" s="14"/>
      <c r="O75" s="9"/>
      <c r="P75" s="9"/>
    </row>
    <row r="76">
      <c r="D76" s="9"/>
      <c r="E76" s="9"/>
      <c r="F76" s="10"/>
      <c r="G76" s="11"/>
      <c r="H76" s="10"/>
      <c r="I76" s="10"/>
      <c r="J76" s="12"/>
      <c r="K76" s="13"/>
      <c r="L76" s="10"/>
      <c r="M76" s="10"/>
      <c r="N76" s="14"/>
      <c r="O76" s="9"/>
      <c r="P76" s="9"/>
    </row>
    <row r="77">
      <c r="B77" s="15"/>
      <c r="D77" s="9"/>
      <c r="E77" s="9"/>
      <c r="F77" s="10"/>
      <c r="G77" s="11"/>
      <c r="H77" s="10"/>
      <c r="I77" s="10"/>
      <c r="J77" s="12"/>
      <c r="K77" s="13"/>
      <c r="L77" s="10"/>
      <c r="M77" s="10"/>
      <c r="N77" s="14"/>
      <c r="O77" s="9"/>
      <c r="P77" s="9"/>
    </row>
    <row r="78">
      <c r="B78" s="15"/>
      <c r="D78" s="9"/>
      <c r="E78" s="9"/>
      <c r="F78" s="10"/>
      <c r="G78" s="11"/>
      <c r="H78" s="10"/>
      <c r="I78" s="10"/>
      <c r="J78" s="12"/>
      <c r="K78" s="13"/>
      <c r="L78" s="10"/>
      <c r="M78" s="10"/>
      <c r="N78" s="14"/>
      <c r="O78" s="9"/>
      <c r="P78" s="9"/>
    </row>
    <row r="79">
      <c r="D79" s="9"/>
      <c r="E79" s="9"/>
      <c r="F79" s="10"/>
      <c r="G79" s="11"/>
      <c r="H79" s="10"/>
      <c r="I79" s="10"/>
      <c r="J79" s="12"/>
      <c r="K79" s="13"/>
      <c r="L79" s="10"/>
      <c r="M79" s="10"/>
      <c r="N79" s="14"/>
      <c r="O79" s="9"/>
      <c r="P79" s="9"/>
    </row>
    <row r="80">
      <c r="B80" s="15"/>
      <c r="D80" s="9"/>
      <c r="E80" s="9"/>
      <c r="F80" s="10"/>
      <c r="G80" s="11"/>
      <c r="H80" s="10"/>
      <c r="I80" s="10"/>
      <c r="J80" s="12"/>
      <c r="K80" s="13"/>
      <c r="L80" s="10"/>
      <c r="M80" s="10"/>
      <c r="N80" s="14"/>
      <c r="O80" s="9"/>
      <c r="P80" s="9"/>
    </row>
    <row r="81">
      <c r="D81" s="9"/>
      <c r="E81" s="9"/>
      <c r="F81" s="10"/>
      <c r="G81" s="11"/>
      <c r="H81" s="10"/>
      <c r="I81" s="10"/>
      <c r="J81" s="12"/>
      <c r="K81" s="13"/>
      <c r="L81" s="10"/>
      <c r="M81" s="10"/>
      <c r="N81" s="14"/>
      <c r="O81" s="9"/>
      <c r="P81" s="9"/>
    </row>
    <row r="82">
      <c r="D82" s="9"/>
      <c r="E82" s="9"/>
      <c r="F82" s="10"/>
      <c r="G82" s="11"/>
      <c r="H82" s="10"/>
      <c r="I82" s="10"/>
      <c r="J82" s="12"/>
      <c r="K82" s="13"/>
      <c r="L82" s="10"/>
      <c r="M82" s="10"/>
      <c r="N82" s="14"/>
      <c r="O82" s="9"/>
      <c r="P82" s="9"/>
    </row>
    <row r="83">
      <c r="B83" s="15"/>
      <c r="D83" s="9"/>
      <c r="E83" s="9"/>
      <c r="F83" s="10"/>
      <c r="G83" s="11"/>
      <c r="H83" s="10"/>
      <c r="I83" s="10"/>
      <c r="J83" s="12"/>
      <c r="K83" s="13"/>
      <c r="L83" s="10"/>
      <c r="M83" s="10"/>
      <c r="N83" s="14"/>
      <c r="O83" s="9"/>
      <c r="P83" s="9"/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0.054</v>
      </c>
      <c r="C2" s="8">
        <v>0.824</v>
      </c>
      <c r="D2" s="9">
        <f t="shared" ref="D2:D61" si="1">ROUND(2*SQRT(B2/PI())*1000,2)</f>
        <v>262.21</v>
      </c>
      <c r="E2" s="16">
        <f t="shared" ref="E2:E61" si="2">ROUND(4*PI()*B2/C2/C2,2)</f>
        <v>1</v>
      </c>
      <c r="F2" s="10" t="str">
        <f t="shared" ref="F2:F61" si="3">_xlfn.T.INV(1-0.5*0.05,A2-1)</f>
        <v>#NUM!</v>
      </c>
      <c r="G2" s="11">
        <f t="shared" ref="G2:G61" si="4">ROUND(AVERAGE(D$2:D2),2)</f>
        <v>262.21</v>
      </c>
      <c r="H2" s="10" t="str">
        <f t="shared" ref="H2:H61" si="5">ROUND(_xlfn.STDEV.S(D$2:D2),3)</f>
        <v>#DIV/0!</v>
      </c>
      <c r="I2" s="10" t="str">
        <f t="shared" ref="I2:I61" si="6">ROUND(H2*F2/SQRT(A2),2)</f>
        <v>#DIV/0!</v>
      </c>
      <c r="J2" s="12" t="str">
        <f t="shared" ref="J2:J61" si="7">ROUND(100*I2/G2,3)</f>
        <v>#DIV/0!</v>
      </c>
      <c r="K2" s="17">
        <f t="shared" ref="K2:K61" si="8">ROUND(AVERAGE(E$2:E2),3)</f>
        <v>1</v>
      </c>
      <c r="L2" s="10" t="str">
        <f t="shared" ref="L2:L61" si="9">ROUND(_xlfn.STDEV.S(E$2:E2),3)</f>
        <v>#DIV/0!</v>
      </c>
      <c r="M2" s="10" t="str">
        <f t="shared" ref="M2:M61" si="10">L2*F2/SQRT(A2)</f>
        <v>#DIV/0!</v>
      </c>
      <c r="N2" s="14" t="str">
        <f t="shared" ref="N2:N61" si="11">ROUND(M2*100/K2,2)</f>
        <v>#DIV/0!</v>
      </c>
      <c r="O2" s="9">
        <f t="shared" ref="O2:O61" si="12">COUNT(A:A)</f>
        <v>60</v>
      </c>
      <c r="P2" s="9">
        <f t="shared" ref="P2:P61" si="13">ROUND(A2*100/O2,2)</f>
        <v>1.67</v>
      </c>
    </row>
    <row r="3">
      <c r="A3" s="8">
        <v>2.0</v>
      </c>
      <c r="B3" s="15">
        <v>0.017</v>
      </c>
      <c r="C3" s="8">
        <v>0.46</v>
      </c>
      <c r="D3" s="9">
        <f t="shared" si="1"/>
        <v>147.12</v>
      </c>
      <c r="E3" s="16">
        <f t="shared" si="2"/>
        <v>1.01</v>
      </c>
      <c r="F3" s="10">
        <f t="shared" si="3"/>
        <v>12.70620474</v>
      </c>
      <c r="G3" s="11">
        <f t="shared" si="4"/>
        <v>204.67</v>
      </c>
      <c r="H3" s="10">
        <f t="shared" si="5"/>
        <v>81.381</v>
      </c>
      <c r="I3" s="10">
        <f t="shared" si="6"/>
        <v>731.18</v>
      </c>
      <c r="J3" s="12">
        <f t="shared" si="7"/>
        <v>357.248</v>
      </c>
      <c r="K3" s="17">
        <f t="shared" si="8"/>
        <v>1.005</v>
      </c>
      <c r="L3" s="10">
        <f t="shared" si="9"/>
        <v>0.007</v>
      </c>
      <c r="M3" s="10">
        <f t="shared" si="10"/>
        <v>0.06289250472</v>
      </c>
      <c r="N3" s="18">
        <f t="shared" si="11"/>
        <v>6.26</v>
      </c>
      <c r="O3" s="9">
        <f t="shared" si="12"/>
        <v>60</v>
      </c>
      <c r="P3" s="9">
        <f t="shared" si="13"/>
        <v>3.33</v>
      </c>
    </row>
    <row r="4">
      <c r="A4" s="8">
        <v>3.0</v>
      </c>
      <c r="B4" s="15">
        <v>0.013</v>
      </c>
      <c r="C4" s="8">
        <v>0.396</v>
      </c>
      <c r="D4" s="9">
        <f t="shared" si="1"/>
        <v>128.66</v>
      </c>
      <c r="E4" s="16">
        <f t="shared" si="2"/>
        <v>1.04</v>
      </c>
      <c r="F4" s="10">
        <f t="shared" si="3"/>
        <v>4.30265273</v>
      </c>
      <c r="G4" s="11">
        <f t="shared" si="4"/>
        <v>179.33</v>
      </c>
      <c r="H4" s="10">
        <f t="shared" si="5"/>
        <v>72.367</v>
      </c>
      <c r="I4" s="10">
        <f t="shared" si="6"/>
        <v>179.77</v>
      </c>
      <c r="J4" s="12">
        <f t="shared" si="7"/>
        <v>100.245</v>
      </c>
      <c r="K4" s="17">
        <f t="shared" si="8"/>
        <v>1.017</v>
      </c>
      <c r="L4" s="10">
        <f t="shared" si="9"/>
        <v>0.021</v>
      </c>
      <c r="M4" s="10">
        <f t="shared" si="10"/>
        <v>0.05216689195</v>
      </c>
      <c r="N4" s="18">
        <f t="shared" si="11"/>
        <v>5.13</v>
      </c>
      <c r="O4" s="9">
        <f t="shared" si="12"/>
        <v>60</v>
      </c>
      <c r="P4" s="9">
        <f t="shared" si="13"/>
        <v>5</v>
      </c>
    </row>
    <row r="5">
      <c r="A5" s="8">
        <v>4.0</v>
      </c>
      <c r="B5" s="15">
        <v>0.009</v>
      </c>
      <c r="C5" s="8">
        <v>0.333</v>
      </c>
      <c r="D5" s="9">
        <f t="shared" si="1"/>
        <v>107.05</v>
      </c>
      <c r="E5" s="16">
        <f t="shared" si="2"/>
        <v>1.02</v>
      </c>
      <c r="F5" s="10">
        <f t="shared" si="3"/>
        <v>3.182446305</v>
      </c>
      <c r="G5" s="11">
        <f t="shared" si="4"/>
        <v>161.26</v>
      </c>
      <c r="H5" s="10">
        <f t="shared" si="5"/>
        <v>69.264</v>
      </c>
      <c r="I5" s="10">
        <f t="shared" si="6"/>
        <v>110.21</v>
      </c>
      <c r="J5" s="12">
        <f t="shared" si="7"/>
        <v>68.343</v>
      </c>
      <c r="K5" s="17">
        <f t="shared" si="8"/>
        <v>1.018</v>
      </c>
      <c r="L5" s="10">
        <f t="shared" si="9"/>
        <v>0.017</v>
      </c>
      <c r="M5" s="10">
        <f t="shared" si="10"/>
        <v>0.02705079359</v>
      </c>
      <c r="N5" s="18">
        <f t="shared" si="11"/>
        <v>2.66</v>
      </c>
      <c r="O5" s="9">
        <f t="shared" si="12"/>
        <v>60</v>
      </c>
      <c r="P5" s="9">
        <f t="shared" si="13"/>
        <v>6.67</v>
      </c>
    </row>
    <row r="6">
      <c r="A6" s="8">
        <v>5.0</v>
      </c>
      <c r="B6" s="8">
        <v>0.014</v>
      </c>
      <c r="C6" s="8">
        <v>0.412</v>
      </c>
      <c r="D6" s="9">
        <f t="shared" si="1"/>
        <v>133.51</v>
      </c>
      <c r="E6" s="9">
        <f t="shared" si="2"/>
        <v>1.04</v>
      </c>
      <c r="F6" s="10">
        <f t="shared" si="3"/>
        <v>2.776445105</v>
      </c>
      <c r="G6" s="11">
        <f t="shared" si="4"/>
        <v>155.71</v>
      </c>
      <c r="H6" s="10">
        <f t="shared" si="5"/>
        <v>61.254</v>
      </c>
      <c r="I6" s="10">
        <f t="shared" si="6"/>
        <v>76.06</v>
      </c>
      <c r="J6" s="12">
        <f t="shared" si="7"/>
        <v>48.847</v>
      </c>
      <c r="K6" s="17">
        <f t="shared" si="8"/>
        <v>1.022</v>
      </c>
      <c r="L6" s="10">
        <f t="shared" si="9"/>
        <v>0.018</v>
      </c>
      <c r="M6" s="10">
        <f t="shared" si="10"/>
        <v>0.02234995197</v>
      </c>
      <c r="N6" s="18">
        <f t="shared" si="11"/>
        <v>2.19</v>
      </c>
      <c r="O6" s="9">
        <f t="shared" si="12"/>
        <v>60</v>
      </c>
      <c r="P6" s="9">
        <f t="shared" si="13"/>
        <v>8.33</v>
      </c>
    </row>
    <row r="7">
      <c r="A7" s="8">
        <v>6.0</v>
      </c>
      <c r="B7" s="15">
        <v>0.008</v>
      </c>
      <c r="C7" s="8">
        <v>0.317</v>
      </c>
      <c r="D7" s="9">
        <f t="shared" si="1"/>
        <v>100.93</v>
      </c>
      <c r="E7" s="16">
        <f t="shared" si="2"/>
        <v>1</v>
      </c>
      <c r="F7" s="10">
        <f t="shared" si="3"/>
        <v>2.570581836</v>
      </c>
      <c r="G7" s="11">
        <f t="shared" si="4"/>
        <v>146.58</v>
      </c>
      <c r="H7" s="10">
        <f t="shared" si="5"/>
        <v>59.176</v>
      </c>
      <c r="I7" s="10">
        <f t="shared" si="6"/>
        <v>62.1</v>
      </c>
      <c r="J7" s="12">
        <f t="shared" si="7"/>
        <v>42.366</v>
      </c>
      <c r="K7" s="17">
        <f t="shared" si="8"/>
        <v>1.018</v>
      </c>
      <c r="L7" s="10">
        <f t="shared" si="9"/>
        <v>0.018</v>
      </c>
      <c r="M7" s="10">
        <f t="shared" si="10"/>
        <v>0.01888984152</v>
      </c>
      <c r="N7" s="18">
        <f t="shared" si="11"/>
        <v>1.86</v>
      </c>
      <c r="O7" s="9">
        <f t="shared" si="12"/>
        <v>60</v>
      </c>
      <c r="P7" s="9">
        <f t="shared" si="13"/>
        <v>10</v>
      </c>
    </row>
    <row r="8">
      <c r="A8" s="8">
        <v>7.0</v>
      </c>
      <c r="B8" s="15">
        <v>0.009</v>
      </c>
      <c r="C8" s="8">
        <v>0.333</v>
      </c>
      <c r="D8" s="9">
        <f t="shared" si="1"/>
        <v>107.05</v>
      </c>
      <c r="E8" s="16">
        <f t="shared" si="2"/>
        <v>1.02</v>
      </c>
      <c r="F8" s="10">
        <f t="shared" si="3"/>
        <v>2.446911851</v>
      </c>
      <c r="G8" s="11">
        <f t="shared" si="4"/>
        <v>140.93</v>
      </c>
      <c r="H8" s="10">
        <f t="shared" si="5"/>
        <v>56.048</v>
      </c>
      <c r="I8" s="10">
        <f t="shared" si="6"/>
        <v>51.84</v>
      </c>
      <c r="J8" s="12">
        <f t="shared" si="7"/>
        <v>36.784</v>
      </c>
      <c r="K8" s="17">
        <f t="shared" si="8"/>
        <v>1.019</v>
      </c>
      <c r="L8" s="10">
        <f t="shared" si="9"/>
        <v>0.017</v>
      </c>
      <c r="M8" s="10">
        <f t="shared" si="10"/>
        <v>0.01572237772</v>
      </c>
      <c r="N8" s="18">
        <f t="shared" si="11"/>
        <v>1.54</v>
      </c>
      <c r="O8" s="9">
        <f t="shared" si="12"/>
        <v>60</v>
      </c>
      <c r="P8" s="9">
        <f t="shared" si="13"/>
        <v>11.67</v>
      </c>
    </row>
    <row r="9">
      <c r="A9" s="8">
        <v>8.0</v>
      </c>
      <c r="B9" s="15">
        <v>0.014</v>
      </c>
      <c r="C9" s="8">
        <v>0.412</v>
      </c>
      <c r="D9" s="9">
        <f t="shared" si="1"/>
        <v>133.51</v>
      </c>
      <c r="E9" s="16">
        <f t="shared" si="2"/>
        <v>1.04</v>
      </c>
      <c r="F9" s="10">
        <f t="shared" si="3"/>
        <v>2.364624252</v>
      </c>
      <c r="G9" s="11">
        <f t="shared" si="4"/>
        <v>140.01</v>
      </c>
      <c r="H9" s="10">
        <f t="shared" si="5"/>
        <v>51.957</v>
      </c>
      <c r="I9" s="10">
        <f t="shared" si="6"/>
        <v>43.44</v>
      </c>
      <c r="J9" s="12">
        <f t="shared" si="7"/>
        <v>31.026</v>
      </c>
      <c r="K9" s="17">
        <f t="shared" si="8"/>
        <v>1.021</v>
      </c>
      <c r="L9" s="10">
        <f t="shared" si="9"/>
        <v>0.017</v>
      </c>
      <c r="M9" s="10">
        <f t="shared" si="10"/>
        <v>0.01421235567</v>
      </c>
      <c r="N9" s="18">
        <f t="shared" si="11"/>
        <v>1.39</v>
      </c>
      <c r="O9" s="9">
        <f t="shared" si="12"/>
        <v>60</v>
      </c>
      <c r="P9" s="9">
        <f t="shared" si="13"/>
        <v>13.33</v>
      </c>
    </row>
    <row r="10">
      <c r="A10" s="8">
        <v>9.0</v>
      </c>
      <c r="B10" s="15">
        <v>0.007</v>
      </c>
      <c r="C10" s="8">
        <v>0.301</v>
      </c>
      <c r="D10" s="9">
        <f t="shared" si="1"/>
        <v>94.41</v>
      </c>
      <c r="E10" s="16">
        <f t="shared" si="2"/>
        <v>0.97</v>
      </c>
      <c r="F10" s="10">
        <f t="shared" si="3"/>
        <v>2.306004135</v>
      </c>
      <c r="G10" s="11">
        <f t="shared" si="4"/>
        <v>134.94</v>
      </c>
      <c r="H10" s="10">
        <f t="shared" si="5"/>
        <v>50.922</v>
      </c>
      <c r="I10" s="10">
        <f t="shared" si="6"/>
        <v>39.14</v>
      </c>
      <c r="J10" s="12">
        <f t="shared" si="7"/>
        <v>29.005</v>
      </c>
      <c r="K10" s="17">
        <f t="shared" si="8"/>
        <v>1.016</v>
      </c>
      <c r="L10" s="10">
        <f t="shared" si="9"/>
        <v>0.024</v>
      </c>
      <c r="M10" s="10">
        <f t="shared" si="10"/>
        <v>0.01844803308</v>
      </c>
      <c r="N10" s="18">
        <f t="shared" si="11"/>
        <v>1.82</v>
      </c>
      <c r="O10" s="9">
        <f t="shared" si="12"/>
        <v>60</v>
      </c>
      <c r="P10" s="9">
        <f t="shared" si="13"/>
        <v>15</v>
      </c>
    </row>
    <row r="11">
      <c r="A11" s="8">
        <v>10.0</v>
      </c>
      <c r="B11" s="15">
        <v>0.01</v>
      </c>
      <c r="C11" s="8">
        <v>0.349</v>
      </c>
      <c r="D11" s="9">
        <f t="shared" si="1"/>
        <v>112.84</v>
      </c>
      <c r="E11" s="16">
        <f t="shared" si="2"/>
        <v>1.03</v>
      </c>
      <c r="F11" s="10">
        <f t="shared" si="3"/>
        <v>2.262157163</v>
      </c>
      <c r="G11" s="11">
        <f t="shared" si="4"/>
        <v>132.73</v>
      </c>
      <c r="H11" s="10">
        <f t="shared" si="5"/>
        <v>48.516</v>
      </c>
      <c r="I11" s="10">
        <f t="shared" si="6"/>
        <v>34.71</v>
      </c>
      <c r="J11" s="12">
        <f t="shared" si="7"/>
        <v>26.151</v>
      </c>
      <c r="K11" s="17">
        <f t="shared" si="8"/>
        <v>1.017</v>
      </c>
      <c r="L11" s="10">
        <f t="shared" si="9"/>
        <v>0.023</v>
      </c>
      <c r="M11" s="10">
        <f t="shared" si="10"/>
        <v>0.01645320884</v>
      </c>
      <c r="N11" s="18">
        <f t="shared" si="11"/>
        <v>1.62</v>
      </c>
      <c r="O11" s="9">
        <f t="shared" si="12"/>
        <v>60</v>
      </c>
      <c r="P11" s="9">
        <f t="shared" si="13"/>
        <v>16.67</v>
      </c>
    </row>
    <row r="12">
      <c r="A12" s="8">
        <v>11.0</v>
      </c>
      <c r="B12" s="15">
        <v>0.011</v>
      </c>
      <c r="C12" s="8">
        <v>0.38</v>
      </c>
      <c r="D12" s="9">
        <f t="shared" si="1"/>
        <v>118.35</v>
      </c>
      <c r="E12" s="16">
        <f t="shared" si="2"/>
        <v>0.96</v>
      </c>
      <c r="F12" s="10">
        <f t="shared" si="3"/>
        <v>2.228138852</v>
      </c>
      <c r="G12" s="11">
        <f t="shared" si="4"/>
        <v>131.42</v>
      </c>
      <c r="H12" s="10">
        <f t="shared" si="5"/>
        <v>46.23</v>
      </c>
      <c r="I12" s="10">
        <f t="shared" si="6"/>
        <v>31.06</v>
      </c>
      <c r="J12" s="12">
        <f t="shared" si="7"/>
        <v>23.634</v>
      </c>
      <c r="K12" s="17">
        <f t="shared" si="8"/>
        <v>1.012</v>
      </c>
      <c r="L12" s="10">
        <f t="shared" si="9"/>
        <v>0.028</v>
      </c>
      <c r="M12" s="10">
        <f t="shared" si="10"/>
        <v>0.01881065595</v>
      </c>
      <c r="N12" s="18">
        <f t="shared" si="11"/>
        <v>1.86</v>
      </c>
      <c r="O12" s="9">
        <f t="shared" si="12"/>
        <v>60</v>
      </c>
      <c r="P12" s="9">
        <f t="shared" si="13"/>
        <v>18.33</v>
      </c>
    </row>
    <row r="13">
      <c r="A13" s="8">
        <v>12.0</v>
      </c>
      <c r="B13" s="15">
        <v>0.025</v>
      </c>
      <c r="C13" s="8">
        <v>0.555</v>
      </c>
      <c r="D13" s="9">
        <f t="shared" si="1"/>
        <v>178.41</v>
      </c>
      <c r="E13" s="16">
        <f t="shared" si="2"/>
        <v>1.02</v>
      </c>
      <c r="F13" s="10">
        <f t="shared" si="3"/>
        <v>2.20098516</v>
      </c>
      <c r="G13" s="11">
        <f t="shared" si="4"/>
        <v>135.34</v>
      </c>
      <c r="H13" s="10">
        <f t="shared" si="5"/>
        <v>46.118</v>
      </c>
      <c r="I13" s="10">
        <f t="shared" si="6"/>
        <v>29.3</v>
      </c>
      <c r="J13" s="12">
        <f t="shared" si="7"/>
        <v>21.649</v>
      </c>
      <c r="K13" s="17">
        <f t="shared" si="8"/>
        <v>1.013</v>
      </c>
      <c r="L13" s="10">
        <f t="shared" si="9"/>
        <v>0.026</v>
      </c>
      <c r="M13" s="10">
        <f t="shared" si="10"/>
        <v>0.01651961187</v>
      </c>
      <c r="N13" s="18">
        <f t="shared" si="11"/>
        <v>1.63</v>
      </c>
      <c r="O13" s="9">
        <f t="shared" si="12"/>
        <v>60</v>
      </c>
      <c r="P13" s="9">
        <f t="shared" si="13"/>
        <v>20</v>
      </c>
    </row>
    <row r="14">
      <c r="A14" s="8">
        <v>13.0</v>
      </c>
      <c r="B14" s="15">
        <v>0.017</v>
      </c>
      <c r="C14" s="8">
        <v>0.46</v>
      </c>
      <c r="D14" s="9">
        <f t="shared" si="1"/>
        <v>147.12</v>
      </c>
      <c r="E14" s="16">
        <f t="shared" si="2"/>
        <v>1.01</v>
      </c>
      <c r="F14" s="10">
        <f t="shared" si="3"/>
        <v>2.17881283</v>
      </c>
      <c r="G14" s="11">
        <f t="shared" si="4"/>
        <v>136.24</v>
      </c>
      <c r="H14" s="10">
        <f t="shared" si="5"/>
        <v>44.276</v>
      </c>
      <c r="I14" s="10">
        <f t="shared" si="6"/>
        <v>26.76</v>
      </c>
      <c r="J14" s="12">
        <f t="shared" si="7"/>
        <v>19.642</v>
      </c>
      <c r="K14" s="17">
        <f t="shared" si="8"/>
        <v>1.012</v>
      </c>
      <c r="L14" s="10">
        <f t="shared" si="9"/>
        <v>0.025</v>
      </c>
      <c r="M14" s="10">
        <f t="shared" si="10"/>
        <v>0.0151073488</v>
      </c>
      <c r="N14" s="18">
        <f t="shared" si="11"/>
        <v>1.49</v>
      </c>
      <c r="O14" s="9">
        <f t="shared" si="12"/>
        <v>60</v>
      </c>
      <c r="P14" s="9">
        <f t="shared" si="13"/>
        <v>21.67</v>
      </c>
    </row>
    <row r="15">
      <c r="A15" s="8">
        <v>14.0</v>
      </c>
      <c r="B15" s="15">
        <v>0.017</v>
      </c>
      <c r="C15" s="8">
        <v>0.46</v>
      </c>
      <c r="D15" s="9">
        <f t="shared" si="1"/>
        <v>147.12</v>
      </c>
      <c r="E15" s="16">
        <f t="shared" si="2"/>
        <v>1.01</v>
      </c>
      <c r="F15" s="10">
        <f t="shared" si="3"/>
        <v>2.160368656</v>
      </c>
      <c r="G15" s="11">
        <f t="shared" si="4"/>
        <v>137.02</v>
      </c>
      <c r="H15" s="10">
        <f t="shared" si="5"/>
        <v>42.638</v>
      </c>
      <c r="I15" s="10">
        <f t="shared" si="6"/>
        <v>24.62</v>
      </c>
      <c r="J15" s="12">
        <f t="shared" si="7"/>
        <v>17.968</v>
      </c>
      <c r="K15" s="17">
        <f t="shared" si="8"/>
        <v>1.012</v>
      </c>
      <c r="L15" s="10">
        <f t="shared" si="9"/>
        <v>0.024</v>
      </c>
      <c r="M15" s="10">
        <f t="shared" si="10"/>
        <v>0.01385718744</v>
      </c>
      <c r="N15" s="18">
        <f t="shared" si="11"/>
        <v>1.37</v>
      </c>
      <c r="O15" s="9">
        <f t="shared" si="12"/>
        <v>60</v>
      </c>
      <c r="P15" s="9">
        <f t="shared" si="13"/>
        <v>23.33</v>
      </c>
    </row>
    <row r="16">
      <c r="A16" s="8">
        <v>15.0</v>
      </c>
      <c r="B16" s="15">
        <v>0.009</v>
      </c>
      <c r="C16" s="8">
        <v>0.333</v>
      </c>
      <c r="D16" s="9">
        <f t="shared" si="1"/>
        <v>107.05</v>
      </c>
      <c r="E16" s="16">
        <f t="shared" si="2"/>
        <v>1.02</v>
      </c>
      <c r="F16" s="10">
        <f t="shared" si="3"/>
        <v>2.144786688</v>
      </c>
      <c r="G16" s="11">
        <f t="shared" si="4"/>
        <v>135.02</v>
      </c>
      <c r="H16" s="10">
        <f t="shared" si="5"/>
        <v>41.809</v>
      </c>
      <c r="I16" s="10">
        <f t="shared" si="6"/>
        <v>23.15</v>
      </c>
      <c r="J16" s="12">
        <f t="shared" si="7"/>
        <v>17.146</v>
      </c>
      <c r="K16" s="17">
        <f t="shared" si="8"/>
        <v>1.013</v>
      </c>
      <c r="L16" s="10">
        <f t="shared" si="9"/>
        <v>0.023</v>
      </c>
      <c r="M16" s="10">
        <f t="shared" si="10"/>
        <v>0.01273697546</v>
      </c>
      <c r="N16" s="18">
        <f t="shared" si="11"/>
        <v>1.26</v>
      </c>
      <c r="O16" s="9">
        <f t="shared" si="12"/>
        <v>60</v>
      </c>
      <c r="P16" s="9">
        <f t="shared" si="13"/>
        <v>25</v>
      </c>
    </row>
    <row r="17">
      <c r="A17" s="8">
        <v>16.0</v>
      </c>
      <c r="B17" s="15">
        <v>0.014</v>
      </c>
      <c r="C17" s="8">
        <v>0.412</v>
      </c>
      <c r="D17" s="9">
        <f t="shared" si="1"/>
        <v>133.51</v>
      </c>
      <c r="E17" s="16">
        <f t="shared" si="2"/>
        <v>1.04</v>
      </c>
      <c r="F17" s="10">
        <f t="shared" si="3"/>
        <v>2.131449546</v>
      </c>
      <c r="G17" s="11">
        <f t="shared" si="4"/>
        <v>134.93</v>
      </c>
      <c r="H17" s="10">
        <f t="shared" si="5"/>
        <v>40.393</v>
      </c>
      <c r="I17" s="10">
        <f t="shared" si="6"/>
        <v>21.52</v>
      </c>
      <c r="J17" s="12">
        <f t="shared" si="7"/>
        <v>15.949</v>
      </c>
      <c r="K17" s="17">
        <f t="shared" si="8"/>
        <v>1.014</v>
      </c>
      <c r="L17" s="10">
        <f t="shared" si="9"/>
        <v>0.024</v>
      </c>
      <c r="M17" s="10">
        <f t="shared" si="10"/>
        <v>0.01278869727</v>
      </c>
      <c r="N17" s="18">
        <f t="shared" si="11"/>
        <v>1.26</v>
      </c>
      <c r="O17" s="9">
        <f t="shared" si="12"/>
        <v>60</v>
      </c>
      <c r="P17" s="9">
        <f t="shared" si="13"/>
        <v>26.67</v>
      </c>
    </row>
    <row r="18">
      <c r="A18" s="8">
        <v>17.0</v>
      </c>
      <c r="B18" s="15">
        <v>0.022</v>
      </c>
      <c r="C18" s="8">
        <v>0.523</v>
      </c>
      <c r="D18" s="9">
        <f t="shared" si="1"/>
        <v>167.37</v>
      </c>
      <c r="E18" s="16">
        <f t="shared" si="2"/>
        <v>1.01</v>
      </c>
      <c r="F18" s="10">
        <f t="shared" si="3"/>
        <v>2.119905299</v>
      </c>
      <c r="G18" s="11">
        <f t="shared" si="4"/>
        <v>136.84</v>
      </c>
      <c r="H18" s="10">
        <f t="shared" si="5"/>
        <v>39.894</v>
      </c>
      <c r="I18" s="10">
        <f t="shared" si="6"/>
        <v>20.51</v>
      </c>
      <c r="J18" s="12">
        <f t="shared" si="7"/>
        <v>14.988</v>
      </c>
      <c r="K18" s="17">
        <f t="shared" si="8"/>
        <v>1.014</v>
      </c>
      <c r="L18" s="10">
        <f t="shared" si="9"/>
        <v>0.023</v>
      </c>
      <c r="M18" s="10">
        <f t="shared" si="10"/>
        <v>0.01182550881</v>
      </c>
      <c r="N18" s="18">
        <f t="shared" si="11"/>
        <v>1.17</v>
      </c>
      <c r="O18" s="9">
        <f t="shared" si="12"/>
        <v>60</v>
      </c>
      <c r="P18" s="9">
        <f t="shared" si="13"/>
        <v>28.33</v>
      </c>
    </row>
    <row r="19">
      <c r="A19" s="8">
        <v>18.0</v>
      </c>
      <c r="B19" s="15">
        <v>0.014</v>
      </c>
      <c r="C19" s="8">
        <v>0.412</v>
      </c>
      <c r="D19" s="9">
        <f t="shared" si="1"/>
        <v>133.51</v>
      </c>
      <c r="E19" s="16">
        <f t="shared" si="2"/>
        <v>1.04</v>
      </c>
      <c r="F19" s="10">
        <f t="shared" si="3"/>
        <v>2.109815578</v>
      </c>
      <c r="G19" s="11">
        <f t="shared" si="4"/>
        <v>136.65</v>
      </c>
      <c r="H19" s="10">
        <f t="shared" si="5"/>
        <v>38.711</v>
      </c>
      <c r="I19" s="10">
        <f t="shared" si="6"/>
        <v>19.25</v>
      </c>
      <c r="J19" s="12">
        <f t="shared" si="7"/>
        <v>14.087</v>
      </c>
      <c r="K19" s="17">
        <f t="shared" si="8"/>
        <v>1.016</v>
      </c>
      <c r="L19" s="10">
        <f t="shared" si="9"/>
        <v>0.023</v>
      </c>
      <c r="M19" s="10">
        <f t="shared" si="10"/>
        <v>0.01143763092</v>
      </c>
      <c r="N19" s="18">
        <f t="shared" si="11"/>
        <v>1.13</v>
      </c>
      <c r="O19" s="9">
        <f t="shared" si="12"/>
        <v>60</v>
      </c>
      <c r="P19" s="9">
        <f t="shared" si="13"/>
        <v>30</v>
      </c>
    </row>
    <row r="20">
      <c r="A20" s="8">
        <v>19.0</v>
      </c>
      <c r="B20" s="15">
        <v>0.025</v>
      </c>
      <c r="C20" s="8">
        <v>0.555</v>
      </c>
      <c r="D20" s="9">
        <f t="shared" si="1"/>
        <v>178.41</v>
      </c>
      <c r="E20" s="16">
        <f t="shared" si="2"/>
        <v>1.02</v>
      </c>
      <c r="F20" s="10">
        <f t="shared" si="3"/>
        <v>2.10092204</v>
      </c>
      <c r="G20" s="11">
        <f t="shared" si="4"/>
        <v>138.85</v>
      </c>
      <c r="H20" s="10">
        <f t="shared" si="5"/>
        <v>38.821</v>
      </c>
      <c r="I20" s="10">
        <f t="shared" si="6"/>
        <v>18.71</v>
      </c>
      <c r="J20" s="12">
        <f t="shared" si="7"/>
        <v>13.475</v>
      </c>
      <c r="K20" s="17">
        <f t="shared" si="8"/>
        <v>1.016</v>
      </c>
      <c r="L20" s="10">
        <f t="shared" si="9"/>
        <v>0.022</v>
      </c>
      <c r="M20" s="10">
        <f t="shared" si="10"/>
        <v>0.01060366058</v>
      </c>
      <c r="N20" s="18">
        <f t="shared" si="11"/>
        <v>1.04</v>
      </c>
      <c r="O20" s="9">
        <f t="shared" si="12"/>
        <v>60</v>
      </c>
      <c r="P20" s="9">
        <f t="shared" si="13"/>
        <v>31.67</v>
      </c>
    </row>
    <row r="21">
      <c r="A21" s="8">
        <v>20.0</v>
      </c>
      <c r="B21" s="15">
        <v>0.007</v>
      </c>
      <c r="C21" s="8">
        <v>0.301</v>
      </c>
      <c r="D21" s="9">
        <f t="shared" si="1"/>
        <v>94.41</v>
      </c>
      <c r="E21" s="16">
        <f t="shared" si="2"/>
        <v>0.97</v>
      </c>
      <c r="F21" s="10">
        <f t="shared" si="3"/>
        <v>2.093024054</v>
      </c>
      <c r="G21" s="11">
        <f t="shared" si="4"/>
        <v>136.63</v>
      </c>
      <c r="H21" s="10">
        <f t="shared" si="5"/>
        <v>39.071</v>
      </c>
      <c r="I21" s="10">
        <f t="shared" si="6"/>
        <v>18.29</v>
      </c>
      <c r="J21" s="12">
        <f t="shared" si="7"/>
        <v>13.387</v>
      </c>
      <c r="K21" s="17">
        <f t="shared" si="8"/>
        <v>1.014</v>
      </c>
      <c r="L21" s="10">
        <f t="shared" si="9"/>
        <v>0.024</v>
      </c>
      <c r="M21" s="10">
        <f t="shared" si="10"/>
        <v>0.01123234575</v>
      </c>
      <c r="N21" s="18">
        <f t="shared" si="11"/>
        <v>1.11</v>
      </c>
      <c r="O21" s="9">
        <f t="shared" si="12"/>
        <v>60</v>
      </c>
      <c r="P21" s="9">
        <f t="shared" si="13"/>
        <v>33.33</v>
      </c>
    </row>
    <row r="22">
      <c r="A22" s="8">
        <v>21.0</v>
      </c>
      <c r="B22" s="8">
        <v>0.01</v>
      </c>
      <c r="C22" s="8">
        <v>0.349</v>
      </c>
      <c r="D22" s="9">
        <f t="shared" si="1"/>
        <v>112.84</v>
      </c>
      <c r="E22" s="9">
        <f t="shared" si="2"/>
        <v>1.03</v>
      </c>
      <c r="F22" s="10">
        <f t="shared" si="3"/>
        <v>2.085963447</v>
      </c>
      <c r="G22" s="11">
        <f t="shared" si="4"/>
        <v>135.49</v>
      </c>
      <c r="H22" s="10">
        <f t="shared" si="5"/>
        <v>38.433</v>
      </c>
      <c r="I22" s="10">
        <f t="shared" si="6"/>
        <v>17.49</v>
      </c>
      <c r="J22" s="12">
        <f t="shared" si="7"/>
        <v>12.909</v>
      </c>
      <c r="K22" s="17">
        <f t="shared" si="8"/>
        <v>1.014</v>
      </c>
      <c r="L22" s="10">
        <f t="shared" si="9"/>
        <v>0.024</v>
      </c>
      <c r="M22" s="10">
        <f t="shared" si="10"/>
        <v>0.01092466902</v>
      </c>
      <c r="N22" s="18">
        <f t="shared" si="11"/>
        <v>1.08</v>
      </c>
      <c r="O22" s="9">
        <f t="shared" si="12"/>
        <v>60</v>
      </c>
      <c r="P22" s="9">
        <f t="shared" si="13"/>
        <v>35</v>
      </c>
    </row>
    <row r="23">
      <c r="A23" s="8">
        <v>22.0</v>
      </c>
      <c r="B23" s="15">
        <v>0.009</v>
      </c>
      <c r="C23" s="8">
        <v>0.333</v>
      </c>
      <c r="D23" s="9">
        <f t="shared" si="1"/>
        <v>107.05</v>
      </c>
      <c r="E23" s="16">
        <f t="shared" si="2"/>
        <v>1.02</v>
      </c>
      <c r="F23" s="10">
        <f t="shared" si="3"/>
        <v>2.079613845</v>
      </c>
      <c r="G23" s="11">
        <f t="shared" si="4"/>
        <v>134.2</v>
      </c>
      <c r="H23" s="10">
        <f t="shared" si="5"/>
        <v>37.994</v>
      </c>
      <c r="I23" s="10">
        <f t="shared" si="6"/>
        <v>16.85</v>
      </c>
      <c r="J23" s="12">
        <f t="shared" si="7"/>
        <v>12.556</v>
      </c>
      <c r="K23" s="17">
        <f t="shared" si="8"/>
        <v>1.015</v>
      </c>
      <c r="L23" s="10">
        <f t="shared" si="9"/>
        <v>0.023</v>
      </c>
      <c r="M23" s="10">
        <f t="shared" si="10"/>
        <v>0.01019762871</v>
      </c>
      <c r="N23" s="18">
        <f t="shared" si="11"/>
        <v>1</v>
      </c>
      <c r="O23" s="9">
        <f t="shared" si="12"/>
        <v>60</v>
      </c>
      <c r="P23" s="9">
        <f t="shared" si="13"/>
        <v>36.67</v>
      </c>
    </row>
    <row r="24">
      <c r="A24" s="8">
        <v>23.0</v>
      </c>
      <c r="B24" s="15">
        <v>0.009</v>
      </c>
      <c r="C24" s="8">
        <v>0.333</v>
      </c>
      <c r="D24" s="9">
        <f t="shared" si="1"/>
        <v>107.05</v>
      </c>
      <c r="E24" s="16">
        <f t="shared" si="2"/>
        <v>1.02</v>
      </c>
      <c r="F24" s="10">
        <f t="shared" si="3"/>
        <v>2.073873068</v>
      </c>
      <c r="G24" s="11">
        <f t="shared" si="4"/>
        <v>133.02</v>
      </c>
      <c r="H24" s="10">
        <f t="shared" si="5"/>
        <v>37.55</v>
      </c>
      <c r="I24" s="10">
        <f t="shared" si="6"/>
        <v>16.24</v>
      </c>
      <c r="J24" s="12">
        <f t="shared" si="7"/>
        <v>12.209</v>
      </c>
      <c r="K24" s="17">
        <f t="shared" si="8"/>
        <v>1.015</v>
      </c>
      <c r="L24" s="10">
        <f t="shared" si="9"/>
        <v>0.023</v>
      </c>
      <c r="M24" s="10">
        <f t="shared" si="10"/>
        <v>0.009945945834</v>
      </c>
      <c r="N24" s="18">
        <f t="shared" si="11"/>
        <v>0.98</v>
      </c>
      <c r="O24" s="9">
        <f t="shared" si="12"/>
        <v>60</v>
      </c>
      <c r="P24" s="9">
        <f t="shared" si="13"/>
        <v>38.33</v>
      </c>
    </row>
    <row r="25">
      <c r="A25" s="8">
        <v>24.0</v>
      </c>
      <c r="B25" s="8">
        <v>0.007</v>
      </c>
      <c r="C25" s="8">
        <v>0.301</v>
      </c>
      <c r="D25" s="9">
        <f t="shared" si="1"/>
        <v>94.41</v>
      </c>
      <c r="E25" s="9">
        <f t="shared" si="2"/>
        <v>0.97</v>
      </c>
      <c r="F25" s="10">
        <f t="shared" si="3"/>
        <v>2.06865761</v>
      </c>
      <c r="G25" s="11">
        <f t="shared" si="4"/>
        <v>131.41</v>
      </c>
      <c r="H25" s="10">
        <f t="shared" si="5"/>
        <v>37.561</v>
      </c>
      <c r="I25" s="10">
        <f t="shared" si="6"/>
        <v>15.86</v>
      </c>
      <c r="J25" s="12">
        <f t="shared" si="7"/>
        <v>12.069</v>
      </c>
      <c r="K25" s="17">
        <f t="shared" si="8"/>
        <v>1.013</v>
      </c>
      <c r="L25" s="10">
        <f t="shared" si="9"/>
        <v>0.024</v>
      </c>
      <c r="M25" s="10">
        <f t="shared" si="10"/>
        <v>0.0101343112</v>
      </c>
      <c r="N25" s="18">
        <f t="shared" si="11"/>
        <v>1</v>
      </c>
      <c r="O25" s="9">
        <f t="shared" si="12"/>
        <v>60</v>
      </c>
      <c r="P25" s="9">
        <f t="shared" si="13"/>
        <v>40</v>
      </c>
    </row>
    <row r="26">
      <c r="A26" s="8">
        <v>25.0</v>
      </c>
      <c r="B26" s="15">
        <v>0.013</v>
      </c>
      <c r="C26" s="8">
        <v>0.396</v>
      </c>
      <c r="D26" s="9">
        <f t="shared" si="1"/>
        <v>128.66</v>
      </c>
      <c r="E26" s="16">
        <f t="shared" si="2"/>
        <v>1.04</v>
      </c>
      <c r="F26" s="10">
        <f t="shared" si="3"/>
        <v>2.063898562</v>
      </c>
      <c r="G26" s="11">
        <f t="shared" si="4"/>
        <v>131.3</v>
      </c>
      <c r="H26" s="10">
        <f t="shared" si="5"/>
        <v>36.774</v>
      </c>
      <c r="I26" s="10">
        <f t="shared" si="6"/>
        <v>15.18</v>
      </c>
      <c r="J26" s="12">
        <f t="shared" si="7"/>
        <v>11.561</v>
      </c>
      <c r="K26" s="17">
        <f t="shared" si="8"/>
        <v>1.014</v>
      </c>
      <c r="L26" s="10">
        <f t="shared" si="9"/>
        <v>0.024</v>
      </c>
      <c r="M26" s="10">
        <f t="shared" si="10"/>
        <v>0.009906713096</v>
      </c>
      <c r="N26" s="18">
        <f t="shared" si="11"/>
        <v>0.98</v>
      </c>
      <c r="O26" s="9">
        <f t="shared" si="12"/>
        <v>60</v>
      </c>
      <c r="P26" s="9">
        <f t="shared" si="13"/>
        <v>41.67</v>
      </c>
    </row>
    <row r="27">
      <c r="A27" s="8">
        <v>26.0</v>
      </c>
      <c r="B27" s="15">
        <v>0.011</v>
      </c>
      <c r="C27" s="8">
        <v>0.38</v>
      </c>
      <c r="D27" s="9">
        <f t="shared" si="1"/>
        <v>118.35</v>
      </c>
      <c r="E27" s="16">
        <f t="shared" si="2"/>
        <v>0.96</v>
      </c>
      <c r="F27" s="10">
        <f t="shared" si="3"/>
        <v>2.059538553</v>
      </c>
      <c r="G27" s="11">
        <f t="shared" si="4"/>
        <v>130.8</v>
      </c>
      <c r="H27" s="10">
        <f t="shared" si="5"/>
        <v>36.121</v>
      </c>
      <c r="I27" s="10">
        <f t="shared" si="6"/>
        <v>14.59</v>
      </c>
      <c r="J27" s="12">
        <f t="shared" si="7"/>
        <v>11.154</v>
      </c>
      <c r="K27" s="17">
        <f t="shared" si="8"/>
        <v>1.012</v>
      </c>
      <c r="L27" s="10">
        <f t="shared" si="9"/>
        <v>0.026</v>
      </c>
      <c r="M27" s="10">
        <f t="shared" si="10"/>
        <v>0.01050162727</v>
      </c>
      <c r="N27" s="18">
        <f t="shared" si="11"/>
        <v>1.04</v>
      </c>
      <c r="O27" s="9">
        <f t="shared" si="12"/>
        <v>60</v>
      </c>
      <c r="P27" s="9">
        <f t="shared" si="13"/>
        <v>43.33</v>
      </c>
    </row>
    <row r="28">
      <c r="A28" s="8">
        <v>27.0</v>
      </c>
      <c r="B28" s="15">
        <v>0.008</v>
      </c>
      <c r="C28" s="8">
        <v>0.317</v>
      </c>
      <c r="D28" s="9">
        <f t="shared" si="1"/>
        <v>100.93</v>
      </c>
      <c r="E28" s="16">
        <f t="shared" si="2"/>
        <v>1</v>
      </c>
      <c r="F28" s="10">
        <f t="shared" si="3"/>
        <v>2.055529439</v>
      </c>
      <c r="G28" s="11">
        <f t="shared" si="4"/>
        <v>129.7</v>
      </c>
      <c r="H28" s="10">
        <f t="shared" si="5"/>
        <v>35.883</v>
      </c>
      <c r="I28" s="10">
        <f t="shared" si="6"/>
        <v>14.19</v>
      </c>
      <c r="J28" s="12">
        <f t="shared" si="7"/>
        <v>10.941</v>
      </c>
      <c r="K28" s="17">
        <f t="shared" si="8"/>
        <v>1.011</v>
      </c>
      <c r="L28" s="10">
        <f t="shared" si="9"/>
        <v>0.026</v>
      </c>
      <c r="M28" s="10">
        <f t="shared" si="10"/>
        <v>0.01028525745</v>
      </c>
      <c r="N28" s="18">
        <f t="shared" si="11"/>
        <v>1.02</v>
      </c>
      <c r="O28" s="9">
        <f t="shared" si="12"/>
        <v>60</v>
      </c>
      <c r="P28" s="9">
        <f t="shared" si="13"/>
        <v>45</v>
      </c>
    </row>
    <row r="29">
      <c r="A29" s="8">
        <v>28.0</v>
      </c>
      <c r="B29" s="15">
        <v>0.001</v>
      </c>
      <c r="C29" s="8">
        <v>0.127</v>
      </c>
      <c r="D29" s="9">
        <f t="shared" si="1"/>
        <v>35.68</v>
      </c>
      <c r="E29" s="16">
        <f t="shared" si="2"/>
        <v>0.78</v>
      </c>
      <c r="F29" s="10">
        <f t="shared" si="3"/>
        <v>2.051830516</v>
      </c>
      <c r="G29" s="11">
        <f t="shared" si="4"/>
        <v>126.34</v>
      </c>
      <c r="H29" s="10">
        <f t="shared" si="5"/>
        <v>39.441</v>
      </c>
      <c r="I29" s="10">
        <f t="shared" si="6"/>
        <v>15.29</v>
      </c>
      <c r="J29" s="12">
        <f t="shared" si="7"/>
        <v>12.102</v>
      </c>
      <c r="K29" s="17">
        <f t="shared" si="8"/>
        <v>1.003</v>
      </c>
      <c r="L29" s="10">
        <f t="shared" si="9"/>
        <v>0.05</v>
      </c>
      <c r="M29" s="10">
        <f t="shared" si="10"/>
        <v>0.019387976</v>
      </c>
      <c r="N29" s="18">
        <f t="shared" si="11"/>
        <v>1.93</v>
      </c>
      <c r="O29" s="9">
        <f t="shared" si="12"/>
        <v>60</v>
      </c>
      <c r="P29" s="9">
        <f t="shared" si="13"/>
        <v>46.67</v>
      </c>
    </row>
    <row r="30">
      <c r="A30" s="8">
        <v>29.0</v>
      </c>
      <c r="B30" s="15">
        <v>0.005</v>
      </c>
      <c r="C30" s="8">
        <v>0.238</v>
      </c>
      <c r="D30" s="9">
        <f t="shared" si="1"/>
        <v>79.79</v>
      </c>
      <c r="E30" s="16">
        <f t="shared" si="2"/>
        <v>1.11</v>
      </c>
      <c r="F30" s="10">
        <f t="shared" si="3"/>
        <v>2.048407142</v>
      </c>
      <c r="G30" s="11">
        <f t="shared" si="4"/>
        <v>124.73</v>
      </c>
      <c r="H30" s="10">
        <f t="shared" si="5"/>
        <v>39.683</v>
      </c>
      <c r="I30" s="10">
        <f t="shared" si="6"/>
        <v>15.09</v>
      </c>
      <c r="J30" s="12">
        <f t="shared" si="7"/>
        <v>12.098</v>
      </c>
      <c r="K30" s="17">
        <f t="shared" si="8"/>
        <v>1.007</v>
      </c>
      <c r="L30" s="10">
        <f t="shared" si="9"/>
        <v>0.053</v>
      </c>
      <c r="M30" s="10">
        <f t="shared" si="10"/>
        <v>0.02016012182</v>
      </c>
      <c r="N30" s="18">
        <f t="shared" si="11"/>
        <v>2</v>
      </c>
      <c r="O30" s="9">
        <f t="shared" si="12"/>
        <v>60</v>
      </c>
      <c r="P30" s="9">
        <f t="shared" si="13"/>
        <v>48.33</v>
      </c>
    </row>
    <row r="31">
      <c r="A31" s="8">
        <v>30.0</v>
      </c>
      <c r="B31" s="15">
        <v>9.93E-4</v>
      </c>
      <c r="C31" s="8">
        <v>0.111</v>
      </c>
      <c r="D31" s="9">
        <f t="shared" si="1"/>
        <v>35.56</v>
      </c>
      <c r="E31" s="16">
        <f t="shared" si="2"/>
        <v>1.01</v>
      </c>
      <c r="F31" s="10">
        <f t="shared" si="3"/>
        <v>2.045229642</v>
      </c>
      <c r="G31" s="11">
        <f t="shared" si="4"/>
        <v>121.76</v>
      </c>
      <c r="H31" s="10">
        <f t="shared" si="5"/>
        <v>42.255</v>
      </c>
      <c r="I31" s="10">
        <f t="shared" si="6"/>
        <v>15.78</v>
      </c>
      <c r="J31" s="12">
        <f t="shared" si="7"/>
        <v>12.96</v>
      </c>
      <c r="K31" s="17">
        <f t="shared" si="8"/>
        <v>1.007</v>
      </c>
      <c r="L31" s="10">
        <f t="shared" si="9"/>
        <v>0.052</v>
      </c>
      <c r="M31" s="10">
        <f t="shared" si="10"/>
        <v>0.01941711911</v>
      </c>
      <c r="N31" s="18">
        <f t="shared" si="11"/>
        <v>1.93</v>
      </c>
      <c r="O31" s="9">
        <f t="shared" si="12"/>
        <v>60</v>
      </c>
      <c r="P31" s="9">
        <f t="shared" si="13"/>
        <v>50</v>
      </c>
    </row>
    <row r="32">
      <c r="A32" s="8">
        <v>31.0</v>
      </c>
      <c r="B32" s="15">
        <v>9.93E-4</v>
      </c>
      <c r="C32" s="8">
        <v>0.111</v>
      </c>
      <c r="D32" s="9">
        <f t="shared" si="1"/>
        <v>35.56</v>
      </c>
      <c r="E32" s="16">
        <f t="shared" si="2"/>
        <v>1.01</v>
      </c>
      <c r="F32" s="10">
        <f t="shared" si="3"/>
        <v>2.042272456</v>
      </c>
      <c r="G32" s="11">
        <f t="shared" si="4"/>
        <v>118.98</v>
      </c>
      <c r="H32" s="10">
        <f t="shared" si="5"/>
        <v>44.336</v>
      </c>
      <c r="I32" s="10">
        <f t="shared" si="6"/>
        <v>16.26</v>
      </c>
      <c r="J32" s="12">
        <f t="shared" si="7"/>
        <v>13.666</v>
      </c>
      <c r="K32" s="17">
        <f t="shared" si="8"/>
        <v>1.007</v>
      </c>
      <c r="L32" s="10">
        <f t="shared" si="9"/>
        <v>0.052</v>
      </c>
      <c r="M32" s="10">
        <f t="shared" si="10"/>
        <v>0.01907375399</v>
      </c>
      <c r="N32" s="18">
        <f t="shared" si="11"/>
        <v>1.89</v>
      </c>
      <c r="O32" s="9">
        <f t="shared" si="12"/>
        <v>60</v>
      </c>
      <c r="P32" s="9">
        <f t="shared" si="13"/>
        <v>51.67</v>
      </c>
    </row>
    <row r="33">
      <c r="A33" s="8">
        <v>32.0</v>
      </c>
      <c r="B33" s="15">
        <v>7.129E-4</v>
      </c>
      <c r="C33" s="8">
        <v>0.095</v>
      </c>
      <c r="D33" s="9">
        <f t="shared" si="1"/>
        <v>30.13</v>
      </c>
      <c r="E33" s="16">
        <f t="shared" si="2"/>
        <v>0.99</v>
      </c>
      <c r="F33" s="10">
        <f t="shared" si="3"/>
        <v>2.039513446</v>
      </c>
      <c r="G33" s="11">
        <f t="shared" si="4"/>
        <v>116.21</v>
      </c>
      <c r="H33" s="10">
        <f t="shared" si="5"/>
        <v>46.357</v>
      </c>
      <c r="I33" s="10">
        <f t="shared" si="6"/>
        <v>16.71</v>
      </c>
      <c r="J33" s="12">
        <f t="shared" si="7"/>
        <v>14.379</v>
      </c>
      <c r="K33" s="17">
        <f t="shared" si="8"/>
        <v>1.007</v>
      </c>
      <c r="L33" s="10">
        <f t="shared" si="9"/>
        <v>0.051</v>
      </c>
      <c r="M33" s="10">
        <f t="shared" si="10"/>
        <v>0.0183874608</v>
      </c>
      <c r="N33" s="18">
        <f t="shared" si="11"/>
        <v>1.83</v>
      </c>
      <c r="O33" s="9">
        <f t="shared" si="12"/>
        <v>60</v>
      </c>
      <c r="P33" s="9">
        <f t="shared" si="13"/>
        <v>53.33</v>
      </c>
    </row>
    <row r="34">
      <c r="A34" s="8">
        <v>33.0</v>
      </c>
      <c r="B34" s="15">
        <v>3.31E-4</v>
      </c>
      <c r="C34" s="8">
        <v>0.063</v>
      </c>
      <c r="D34" s="9">
        <f t="shared" si="1"/>
        <v>20.53</v>
      </c>
      <c r="E34" s="16">
        <f t="shared" si="2"/>
        <v>1.05</v>
      </c>
      <c r="F34" s="10">
        <f t="shared" si="3"/>
        <v>2.036933343</v>
      </c>
      <c r="G34" s="11">
        <f t="shared" si="4"/>
        <v>113.31</v>
      </c>
      <c r="H34" s="10">
        <f t="shared" si="5"/>
        <v>48.572</v>
      </c>
      <c r="I34" s="10">
        <f t="shared" si="6"/>
        <v>17.22</v>
      </c>
      <c r="J34" s="12">
        <f t="shared" si="7"/>
        <v>15.197</v>
      </c>
      <c r="K34" s="17">
        <f t="shared" si="8"/>
        <v>1.008</v>
      </c>
      <c r="L34" s="10">
        <f t="shared" si="9"/>
        <v>0.051</v>
      </c>
      <c r="M34" s="10">
        <f t="shared" si="10"/>
        <v>0.01808381367</v>
      </c>
      <c r="N34" s="18">
        <f t="shared" si="11"/>
        <v>1.79</v>
      </c>
      <c r="O34" s="9">
        <f t="shared" si="12"/>
        <v>60</v>
      </c>
      <c r="P34" s="9">
        <f t="shared" si="13"/>
        <v>55</v>
      </c>
    </row>
    <row r="35">
      <c r="A35" s="8">
        <v>34.0</v>
      </c>
      <c r="B35" s="8">
        <v>0.009</v>
      </c>
      <c r="C35" s="8">
        <v>0.333</v>
      </c>
      <c r="D35" s="9">
        <f t="shared" si="1"/>
        <v>107.05</v>
      </c>
      <c r="E35" s="9">
        <f t="shared" si="2"/>
        <v>1.02</v>
      </c>
      <c r="F35" s="10">
        <f t="shared" si="3"/>
        <v>2.034515297</v>
      </c>
      <c r="G35" s="11">
        <f t="shared" si="4"/>
        <v>113.12</v>
      </c>
      <c r="H35" s="10">
        <f t="shared" si="5"/>
        <v>47.842</v>
      </c>
      <c r="I35" s="10">
        <f t="shared" si="6"/>
        <v>16.69</v>
      </c>
      <c r="J35" s="12">
        <f t="shared" si="7"/>
        <v>14.754</v>
      </c>
      <c r="K35" s="17">
        <f t="shared" si="8"/>
        <v>1.008</v>
      </c>
      <c r="L35" s="10">
        <f t="shared" si="9"/>
        <v>0.05</v>
      </c>
      <c r="M35" s="10">
        <f t="shared" si="10"/>
        <v>0.01744582475</v>
      </c>
      <c r="N35" s="18">
        <f t="shared" si="11"/>
        <v>1.73</v>
      </c>
      <c r="O35" s="9">
        <f t="shared" si="12"/>
        <v>60</v>
      </c>
      <c r="P35" s="9">
        <f t="shared" si="13"/>
        <v>56.67</v>
      </c>
    </row>
    <row r="36">
      <c r="A36" s="8">
        <v>35.0</v>
      </c>
      <c r="B36" s="15">
        <v>7.129E-4</v>
      </c>
      <c r="C36" s="8">
        <v>0.095</v>
      </c>
      <c r="D36" s="9">
        <f t="shared" si="1"/>
        <v>30.13</v>
      </c>
      <c r="E36" s="16">
        <f t="shared" si="2"/>
        <v>0.99</v>
      </c>
      <c r="F36" s="10">
        <f t="shared" si="3"/>
        <v>2.032244509</v>
      </c>
      <c r="G36" s="11">
        <f t="shared" si="4"/>
        <v>110.75</v>
      </c>
      <c r="H36" s="10">
        <f t="shared" si="5"/>
        <v>49.177</v>
      </c>
      <c r="I36" s="10">
        <f t="shared" si="6"/>
        <v>16.89</v>
      </c>
      <c r="J36" s="12">
        <f t="shared" si="7"/>
        <v>15.251</v>
      </c>
      <c r="K36" s="17">
        <f t="shared" si="8"/>
        <v>1.008</v>
      </c>
      <c r="L36" s="10">
        <f t="shared" si="9"/>
        <v>0.049</v>
      </c>
      <c r="M36" s="10">
        <f t="shared" si="10"/>
        <v>0.01683208892</v>
      </c>
      <c r="N36" s="18">
        <f t="shared" si="11"/>
        <v>1.67</v>
      </c>
      <c r="O36" s="9">
        <f t="shared" si="12"/>
        <v>60</v>
      </c>
      <c r="P36" s="9">
        <f t="shared" si="13"/>
        <v>58.33</v>
      </c>
    </row>
    <row r="37">
      <c r="A37" s="8">
        <v>36.0</v>
      </c>
      <c r="B37" s="15">
        <v>0.001</v>
      </c>
      <c r="C37" s="8">
        <v>0.127</v>
      </c>
      <c r="D37" s="9">
        <f t="shared" si="1"/>
        <v>35.68</v>
      </c>
      <c r="E37" s="16">
        <f t="shared" si="2"/>
        <v>0.78</v>
      </c>
      <c r="F37" s="10">
        <f t="shared" si="3"/>
        <v>2.030107928</v>
      </c>
      <c r="G37" s="11">
        <f t="shared" si="4"/>
        <v>108.67</v>
      </c>
      <c r="H37" s="10">
        <f t="shared" si="5"/>
        <v>50.058</v>
      </c>
      <c r="I37" s="10">
        <f t="shared" si="6"/>
        <v>16.94</v>
      </c>
      <c r="J37" s="12">
        <f t="shared" si="7"/>
        <v>15.588</v>
      </c>
      <c r="K37" s="17">
        <f t="shared" si="8"/>
        <v>1.001</v>
      </c>
      <c r="L37" s="10">
        <f t="shared" si="9"/>
        <v>0.062</v>
      </c>
      <c r="M37" s="10">
        <f t="shared" si="10"/>
        <v>0.02097778193</v>
      </c>
      <c r="N37" s="18">
        <f t="shared" si="11"/>
        <v>2.1</v>
      </c>
      <c r="O37" s="9">
        <f t="shared" si="12"/>
        <v>60</v>
      </c>
      <c r="P37" s="9">
        <f t="shared" si="13"/>
        <v>60</v>
      </c>
    </row>
    <row r="38">
      <c r="A38" s="8">
        <v>37.0</v>
      </c>
      <c r="B38" s="15">
        <v>0.001</v>
      </c>
      <c r="C38" s="8">
        <v>0.127</v>
      </c>
      <c r="D38" s="9">
        <f t="shared" si="1"/>
        <v>35.68</v>
      </c>
      <c r="E38" s="16">
        <f t="shared" si="2"/>
        <v>0.78</v>
      </c>
      <c r="F38" s="10">
        <f t="shared" si="3"/>
        <v>2.028094001</v>
      </c>
      <c r="G38" s="11">
        <f t="shared" si="4"/>
        <v>106.69</v>
      </c>
      <c r="H38" s="10">
        <f t="shared" si="5"/>
        <v>50.795</v>
      </c>
      <c r="I38" s="10">
        <f t="shared" si="6"/>
        <v>16.94</v>
      </c>
      <c r="J38" s="12">
        <f t="shared" si="7"/>
        <v>15.878</v>
      </c>
      <c r="K38" s="17">
        <f t="shared" si="8"/>
        <v>0.995</v>
      </c>
      <c r="L38" s="10">
        <f t="shared" si="9"/>
        <v>0.071</v>
      </c>
      <c r="M38" s="10">
        <f t="shared" si="10"/>
        <v>0.02367257859</v>
      </c>
      <c r="N38" s="18">
        <f t="shared" si="11"/>
        <v>2.38</v>
      </c>
      <c r="O38" s="9">
        <f t="shared" si="12"/>
        <v>60</v>
      </c>
      <c r="P38" s="9">
        <f t="shared" si="13"/>
        <v>61.67</v>
      </c>
    </row>
    <row r="39">
      <c r="A39" s="8">
        <v>38.0</v>
      </c>
      <c r="B39" s="15">
        <v>5.092E-4</v>
      </c>
      <c r="C39" s="8">
        <v>0.079</v>
      </c>
      <c r="D39" s="9">
        <f t="shared" si="1"/>
        <v>25.46</v>
      </c>
      <c r="E39" s="16">
        <f t="shared" si="2"/>
        <v>1.03</v>
      </c>
      <c r="F39" s="10">
        <f t="shared" si="3"/>
        <v>2.026192463</v>
      </c>
      <c r="G39" s="11">
        <f t="shared" si="4"/>
        <v>104.56</v>
      </c>
      <c r="H39" s="10">
        <f t="shared" si="5"/>
        <v>51.808</v>
      </c>
      <c r="I39" s="10">
        <f t="shared" si="6"/>
        <v>17.03</v>
      </c>
      <c r="J39" s="12">
        <f t="shared" si="7"/>
        <v>16.287</v>
      </c>
      <c r="K39" s="17">
        <f t="shared" si="8"/>
        <v>0.996</v>
      </c>
      <c r="L39" s="10">
        <f t="shared" si="9"/>
        <v>0.07</v>
      </c>
      <c r="M39" s="10">
        <f t="shared" si="10"/>
        <v>0.02300842746</v>
      </c>
      <c r="N39" s="18">
        <f t="shared" si="11"/>
        <v>2.31</v>
      </c>
      <c r="O39" s="9">
        <f t="shared" si="12"/>
        <v>60</v>
      </c>
      <c r="P39" s="9">
        <f t="shared" si="13"/>
        <v>63.33</v>
      </c>
    </row>
    <row r="40">
      <c r="A40" s="8">
        <v>39.0</v>
      </c>
      <c r="B40" s="8">
        <v>0.002</v>
      </c>
      <c r="C40" s="8">
        <v>0.143</v>
      </c>
      <c r="D40" s="9">
        <f t="shared" si="1"/>
        <v>50.46</v>
      </c>
      <c r="E40" s="9">
        <f t="shared" si="2"/>
        <v>1.23</v>
      </c>
      <c r="F40" s="10">
        <f t="shared" si="3"/>
        <v>2.024394164</v>
      </c>
      <c r="G40" s="11">
        <f t="shared" si="4"/>
        <v>103.17</v>
      </c>
      <c r="H40" s="10">
        <f t="shared" si="5"/>
        <v>51.851</v>
      </c>
      <c r="I40" s="10">
        <f t="shared" si="6"/>
        <v>16.81</v>
      </c>
      <c r="J40" s="12">
        <f t="shared" si="7"/>
        <v>16.293</v>
      </c>
      <c r="K40" s="17">
        <f t="shared" si="8"/>
        <v>1.002</v>
      </c>
      <c r="L40" s="10">
        <f t="shared" si="9"/>
        <v>0.079</v>
      </c>
      <c r="M40" s="10">
        <f t="shared" si="10"/>
        <v>0.0256088375</v>
      </c>
      <c r="N40" s="18">
        <f t="shared" si="11"/>
        <v>2.56</v>
      </c>
      <c r="O40" s="9">
        <f t="shared" si="12"/>
        <v>60</v>
      </c>
      <c r="P40" s="9">
        <f t="shared" si="13"/>
        <v>65</v>
      </c>
    </row>
    <row r="41">
      <c r="A41" s="8">
        <v>40.0</v>
      </c>
      <c r="B41" s="15">
        <v>0.037</v>
      </c>
      <c r="C41" s="8">
        <v>0.682</v>
      </c>
      <c r="D41" s="9">
        <f t="shared" si="1"/>
        <v>217.05</v>
      </c>
      <c r="E41" s="16">
        <f t="shared" si="2"/>
        <v>1</v>
      </c>
      <c r="F41" s="10">
        <f t="shared" si="3"/>
        <v>2.02269092</v>
      </c>
      <c r="G41" s="11">
        <f t="shared" si="4"/>
        <v>106.02</v>
      </c>
      <c r="H41" s="10">
        <f t="shared" si="5"/>
        <v>54.257</v>
      </c>
      <c r="I41" s="10">
        <f t="shared" si="6"/>
        <v>17.35</v>
      </c>
      <c r="J41" s="12">
        <f t="shared" si="7"/>
        <v>16.365</v>
      </c>
      <c r="K41" s="17">
        <f t="shared" si="8"/>
        <v>1.002</v>
      </c>
      <c r="L41" s="10">
        <f t="shared" si="9"/>
        <v>0.078</v>
      </c>
      <c r="M41" s="10">
        <f t="shared" si="10"/>
        <v>0.02494561021</v>
      </c>
      <c r="N41" s="18">
        <f t="shared" si="11"/>
        <v>2.49</v>
      </c>
      <c r="O41" s="9">
        <f t="shared" si="12"/>
        <v>60</v>
      </c>
      <c r="P41" s="9">
        <f t="shared" si="13"/>
        <v>66.67</v>
      </c>
    </row>
    <row r="42">
      <c r="A42" s="8">
        <v>41.0</v>
      </c>
      <c r="B42" s="15">
        <v>0.002</v>
      </c>
      <c r="C42" s="8">
        <v>0.159</v>
      </c>
      <c r="D42" s="9">
        <f t="shared" si="1"/>
        <v>50.46</v>
      </c>
      <c r="E42" s="16">
        <f t="shared" si="2"/>
        <v>0.99</v>
      </c>
      <c r="F42" s="10">
        <f t="shared" si="3"/>
        <v>2.02107539</v>
      </c>
      <c r="G42" s="11">
        <f t="shared" si="4"/>
        <v>104.66</v>
      </c>
      <c r="H42" s="10">
        <f t="shared" si="5"/>
        <v>54.272</v>
      </c>
      <c r="I42" s="10">
        <f t="shared" si="6"/>
        <v>17.13</v>
      </c>
      <c r="J42" s="12">
        <f t="shared" si="7"/>
        <v>16.367</v>
      </c>
      <c r="K42" s="17">
        <f t="shared" si="8"/>
        <v>1.002</v>
      </c>
      <c r="L42" s="10">
        <f t="shared" si="9"/>
        <v>0.077</v>
      </c>
      <c r="M42" s="10">
        <f t="shared" si="10"/>
        <v>0.0243041989</v>
      </c>
      <c r="N42" s="18">
        <f t="shared" si="11"/>
        <v>2.43</v>
      </c>
      <c r="O42" s="9">
        <f t="shared" si="12"/>
        <v>60</v>
      </c>
      <c r="P42" s="9">
        <f t="shared" si="13"/>
        <v>68.33</v>
      </c>
    </row>
    <row r="43">
      <c r="A43" s="8">
        <v>42.0</v>
      </c>
      <c r="B43" s="8">
        <v>0.012</v>
      </c>
      <c r="C43" s="8">
        <v>0.393</v>
      </c>
      <c r="D43" s="9">
        <f t="shared" si="1"/>
        <v>123.61</v>
      </c>
      <c r="E43" s="9">
        <f t="shared" si="2"/>
        <v>0.98</v>
      </c>
      <c r="F43" s="10">
        <f t="shared" si="3"/>
        <v>2.01954097</v>
      </c>
      <c r="G43" s="11">
        <f t="shared" si="4"/>
        <v>105.11</v>
      </c>
      <c r="H43" s="10">
        <f t="shared" si="5"/>
        <v>53.686</v>
      </c>
      <c r="I43" s="10">
        <f t="shared" si="6"/>
        <v>16.73</v>
      </c>
      <c r="J43" s="12">
        <f t="shared" si="7"/>
        <v>15.917</v>
      </c>
      <c r="K43" s="17">
        <f t="shared" si="8"/>
        <v>1.001</v>
      </c>
      <c r="L43" s="10">
        <f t="shared" si="9"/>
        <v>0.076</v>
      </c>
      <c r="M43" s="10">
        <f t="shared" si="10"/>
        <v>0.02368326722</v>
      </c>
      <c r="N43" s="18">
        <f t="shared" si="11"/>
        <v>2.37</v>
      </c>
      <c r="O43" s="9">
        <f t="shared" si="12"/>
        <v>60</v>
      </c>
      <c r="P43" s="9">
        <f t="shared" si="13"/>
        <v>70</v>
      </c>
    </row>
    <row r="44">
      <c r="A44" s="8">
        <v>43.0</v>
      </c>
      <c r="B44" s="15">
        <v>0.011</v>
      </c>
      <c r="C44" s="8">
        <v>0.381</v>
      </c>
      <c r="D44" s="9">
        <f t="shared" si="1"/>
        <v>118.35</v>
      </c>
      <c r="E44" s="16">
        <f t="shared" si="2"/>
        <v>0.95</v>
      </c>
      <c r="F44" s="10">
        <f t="shared" si="3"/>
        <v>2.018081703</v>
      </c>
      <c r="G44" s="11">
        <f t="shared" si="4"/>
        <v>105.42</v>
      </c>
      <c r="H44" s="10">
        <f t="shared" si="5"/>
        <v>53.081</v>
      </c>
      <c r="I44" s="10">
        <f t="shared" si="6"/>
        <v>16.34</v>
      </c>
      <c r="J44" s="12">
        <f t="shared" si="7"/>
        <v>15.5</v>
      </c>
      <c r="K44" s="17">
        <f t="shared" si="8"/>
        <v>1</v>
      </c>
      <c r="L44" s="10">
        <f t="shared" si="9"/>
        <v>0.075</v>
      </c>
      <c r="M44" s="10">
        <f t="shared" si="10"/>
        <v>0.02308159309</v>
      </c>
      <c r="N44" s="18">
        <f t="shared" si="11"/>
        <v>2.31</v>
      </c>
      <c r="O44" s="9">
        <f t="shared" si="12"/>
        <v>60</v>
      </c>
      <c r="P44" s="9">
        <f t="shared" si="13"/>
        <v>71.67</v>
      </c>
    </row>
    <row r="45">
      <c r="A45" s="8">
        <v>44.0</v>
      </c>
      <c r="B45" s="8">
        <v>0.012</v>
      </c>
      <c r="C45" s="8">
        <v>0.406</v>
      </c>
      <c r="D45" s="9">
        <f t="shared" si="1"/>
        <v>123.61</v>
      </c>
      <c r="E45" s="9">
        <f t="shared" si="2"/>
        <v>0.91</v>
      </c>
      <c r="F45" s="10">
        <f t="shared" si="3"/>
        <v>2.016692199</v>
      </c>
      <c r="G45" s="11">
        <f t="shared" si="4"/>
        <v>105.83</v>
      </c>
      <c r="H45" s="10">
        <f t="shared" si="5"/>
        <v>52.532</v>
      </c>
      <c r="I45" s="10">
        <f t="shared" si="6"/>
        <v>15.97</v>
      </c>
      <c r="J45" s="12">
        <f t="shared" si="7"/>
        <v>15.09</v>
      </c>
      <c r="K45" s="17">
        <f t="shared" si="8"/>
        <v>0.998</v>
      </c>
      <c r="L45" s="10">
        <f t="shared" si="9"/>
        <v>0.076</v>
      </c>
      <c r="M45" s="10">
        <f t="shared" si="10"/>
        <v>0.02310611191</v>
      </c>
      <c r="N45" s="18">
        <f t="shared" si="11"/>
        <v>2.32</v>
      </c>
      <c r="O45" s="9">
        <f t="shared" si="12"/>
        <v>60</v>
      </c>
      <c r="P45" s="9">
        <f t="shared" si="13"/>
        <v>73.33</v>
      </c>
    </row>
    <row r="46">
      <c r="A46" s="8">
        <v>45.0</v>
      </c>
      <c r="B46" s="8">
        <v>0.02</v>
      </c>
      <c r="C46" s="8">
        <v>0.603</v>
      </c>
      <c r="D46" s="9">
        <f t="shared" si="1"/>
        <v>159.58</v>
      </c>
      <c r="E46" s="9">
        <f t="shared" si="2"/>
        <v>0.69</v>
      </c>
      <c r="F46" s="10">
        <f t="shared" si="3"/>
        <v>2.015367574</v>
      </c>
      <c r="G46" s="11">
        <f t="shared" si="4"/>
        <v>107.03</v>
      </c>
      <c r="H46" s="10">
        <f t="shared" si="5"/>
        <v>52.546</v>
      </c>
      <c r="I46" s="10">
        <f t="shared" si="6"/>
        <v>15.79</v>
      </c>
      <c r="J46" s="12">
        <f t="shared" si="7"/>
        <v>14.753</v>
      </c>
      <c r="K46" s="17">
        <f t="shared" si="8"/>
        <v>0.991</v>
      </c>
      <c r="L46" s="10">
        <f t="shared" si="9"/>
        <v>0.088</v>
      </c>
      <c r="M46" s="10">
        <f t="shared" si="10"/>
        <v>0.02643812686</v>
      </c>
      <c r="N46" s="18">
        <f t="shared" si="11"/>
        <v>2.67</v>
      </c>
      <c r="O46" s="9">
        <f t="shared" si="12"/>
        <v>60</v>
      </c>
      <c r="P46" s="9">
        <f t="shared" si="13"/>
        <v>75</v>
      </c>
    </row>
    <row r="47">
      <c r="A47" s="8">
        <v>46.0</v>
      </c>
      <c r="B47" s="15">
        <v>0.063</v>
      </c>
      <c r="C47" s="8">
        <v>1.109</v>
      </c>
      <c r="D47" s="9">
        <f t="shared" si="1"/>
        <v>283.22</v>
      </c>
      <c r="E47" s="16">
        <f t="shared" si="2"/>
        <v>0.64</v>
      </c>
      <c r="F47" s="10">
        <f t="shared" si="3"/>
        <v>2.014103389</v>
      </c>
      <c r="G47" s="11">
        <f t="shared" si="4"/>
        <v>110.86</v>
      </c>
      <c r="H47" s="10">
        <f t="shared" si="5"/>
        <v>58.091</v>
      </c>
      <c r="I47" s="10">
        <f t="shared" si="6"/>
        <v>17.25</v>
      </c>
      <c r="J47" s="12">
        <f t="shared" si="7"/>
        <v>15.56</v>
      </c>
      <c r="K47" s="17">
        <f t="shared" si="8"/>
        <v>0.984</v>
      </c>
      <c r="L47" s="10">
        <f t="shared" si="9"/>
        <v>0.101</v>
      </c>
      <c r="M47" s="10">
        <f t="shared" si="10"/>
        <v>0.0299932977</v>
      </c>
      <c r="N47" s="18">
        <f t="shared" si="11"/>
        <v>3.05</v>
      </c>
      <c r="O47" s="9">
        <f t="shared" si="12"/>
        <v>60</v>
      </c>
      <c r="P47" s="9">
        <f t="shared" si="13"/>
        <v>76.67</v>
      </c>
    </row>
    <row r="48">
      <c r="A48" s="8">
        <v>47.0</v>
      </c>
      <c r="B48" s="15">
        <v>0.023</v>
      </c>
      <c r="C48" s="8">
        <v>0.7</v>
      </c>
      <c r="D48" s="9">
        <f t="shared" si="1"/>
        <v>171.13</v>
      </c>
      <c r="E48" s="16">
        <f t="shared" si="2"/>
        <v>0.59</v>
      </c>
      <c r="F48" s="10">
        <f t="shared" si="3"/>
        <v>2.012895599</v>
      </c>
      <c r="G48" s="11">
        <f t="shared" si="4"/>
        <v>112.14</v>
      </c>
      <c r="H48" s="10">
        <f t="shared" si="5"/>
        <v>58.125</v>
      </c>
      <c r="I48" s="10">
        <f t="shared" si="6"/>
        <v>17.07</v>
      </c>
      <c r="J48" s="12">
        <f t="shared" si="7"/>
        <v>15.222</v>
      </c>
      <c r="K48" s="17">
        <f t="shared" si="8"/>
        <v>0.975</v>
      </c>
      <c r="L48" s="10">
        <f t="shared" si="9"/>
        <v>0.115</v>
      </c>
      <c r="M48" s="10">
        <f t="shared" si="10"/>
        <v>0.03376526493</v>
      </c>
      <c r="N48" s="18">
        <f t="shared" si="11"/>
        <v>3.46</v>
      </c>
      <c r="O48" s="9">
        <f t="shared" si="12"/>
        <v>60</v>
      </c>
      <c r="P48" s="9">
        <f t="shared" si="13"/>
        <v>78.33</v>
      </c>
    </row>
    <row r="49">
      <c r="A49" s="8">
        <v>48.0</v>
      </c>
      <c r="B49" s="8">
        <v>0.005</v>
      </c>
      <c r="C49" s="8">
        <v>0.28</v>
      </c>
      <c r="D49" s="9">
        <f t="shared" si="1"/>
        <v>79.79</v>
      </c>
      <c r="E49" s="9">
        <f t="shared" si="2"/>
        <v>0.8</v>
      </c>
      <c r="F49" s="10">
        <f t="shared" si="3"/>
        <v>2.011740514</v>
      </c>
      <c r="G49" s="11">
        <f t="shared" si="4"/>
        <v>111.47</v>
      </c>
      <c r="H49" s="10">
        <f t="shared" si="5"/>
        <v>57.693</v>
      </c>
      <c r="I49" s="10">
        <f t="shared" si="6"/>
        <v>16.75</v>
      </c>
      <c r="J49" s="12">
        <f t="shared" si="7"/>
        <v>15.026</v>
      </c>
      <c r="K49" s="17">
        <f t="shared" si="8"/>
        <v>0.972</v>
      </c>
      <c r="L49" s="10">
        <f t="shared" si="9"/>
        <v>0.117</v>
      </c>
      <c r="M49" s="10">
        <f t="shared" si="10"/>
        <v>0.03397325862</v>
      </c>
      <c r="N49" s="18">
        <f t="shared" si="11"/>
        <v>3.5</v>
      </c>
      <c r="O49" s="9">
        <f t="shared" si="12"/>
        <v>60</v>
      </c>
      <c r="P49" s="9">
        <f t="shared" si="13"/>
        <v>80</v>
      </c>
    </row>
    <row r="50">
      <c r="A50" s="8">
        <v>49.0</v>
      </c>
      <c r="B50" s="8">
        <v>0.002</v>
      </c>
      <c r="C50" s="8">
        <v>0.15</v>
      </c>
      <c r="D50" s="9">
        <f t="shared" si="1"/>
        <v>50.46</v>
      </c>
      <c r="E50" s="9">
        <f t="shared" si="2"/>
        <v>1.12</v>
      </c>
      <c r="F50" s="10">
        <f t="shared" si="3"/>
        <v>2.010634758</v>
      </c>
      <c r="G50" s="11">
        <f t="shared" si="4"/>
        <v>110.22</v>
      </c>
      <c r="H50" s="10">
        <f t="shared" si="5"/>
        <v>57.75</v>
      </c>
      <c r="I50" s="10">
        <f t="shared" si="6"/>
        <v>16.59</v>
      </c>
      <c r="J50" s="12">
        <f t="shared" si="7"/>
        <v>15.052</v>
      </c>
      <c r="K50" s="17">
        <f t="shared" si="8"/>
        <v>0.975</v>
      </c>
      <c r="L50" s="10">
        <f t="shared" si="9"/>
        <v>0.118</v>
      </c>
      <c r="M50" s="10">
        <f t="shared" si="10"/>
        <v>0.03389355734</v>
      </c>
      <c r="N50" s="18">
        <f t="shared" si="11"/>
        <v>3.48</v>
      </c>
      <c r="O50" s="9">
        <f t="shared" si="12"/>
        <v>60</v>
      </c>
      <c r="P50" s="9">
        <f t="shared" si="13"/>
        <v>81.67</v>
      </c>
    </row>
    <row r="51">
      <c r="A51" s="8">
        <v>50.0</v>
      </c>
      <c r="B51" s="8">
        <v>0.003</v>
      </c>
      <c r="C51" s="8">
        <v>0.191</v>
      </c>
      <c r="D51" s="9">
        <f t="shared" si="1"/>
        <v>61.8</v>
      </c>
      <c r="E51" s="9">
        <f t="shared" si="2"/>
        <v>1.03</v>
      </c>
      <c r="F51" s="10">
        <f t="shared" si="3"/>
        <v>2.009575237</v>
      </c>
      <c r="G51" s="11">
        <f t="shared" si="4"/>
        <v>109.25</v>
      </c>
      <c r="H51" s="10">
        <f t="shared" si="5"/>
        <v>57.566</v>
      </c>
      <c r="I51" s="10">
        <f t="shared" si="6"/>
        <v>16.36</v>
      </c>
      <c r="J51" s="12">
        <f t="shared" si="7"/>
        <v>14.975</v>
      </c>
      <c r="K51" s="17">
        <f t="shared" si="8"/>
        <v>0.976</v>
      </c>
      <c r="L51" s="10">
        <f t="shared" si="9"/>
        <v>0.117</v>
      </c>
      <c r="M51" s="10">
        <f t="shared" si="10"/>
        <v>0.03325103209</v>
      </c>
      <c r="N51" s="18">
        <f t="shared" si="11"/>
        <v>3.41</v>
      </c>
      <c r="O51" s="9">
        <f t="shared" si="12"/>
        <v>60</v>
      </c>
      <c r="P51" s="9">
        <f t="shared" si="13"/>
        <v>83.33</v>
      </c>
    </row>
    <row r="52">
      <c r="A52" s="8">
        <v>51.0</v>
      </c>
      <c r="B52" s="15">
        <v>0.564</v>
      </c>
      <c r="C52" s="8">
        <v>3.947</v>
      </c>
      <c r="D52" s="9">
        <f t="shared" si="1"/>
        <v>847.41</v>
      </c>
      <c r="E52" s="16">
        <f t="shared" si="2"/>
        <v>0.45</v>
      </c>
      <c r="F52" s="10">
        <f t="shared" si="3"/>
        <v>2.008559112</v>
      </c>
      <c r="G52" s="11">
        <f t="shared" si="4"/>
        <v>123.73</v>
      </c>
      <c r="H52" s="10">
        <f t="shared" si="5"/>
        <v>118.032</v>
      </c>
      <c r="I52" s="10">
        <f t="shared" si="6"/>
        <v>33.2</v>
      </c>
      <c r="J52" s="12">
        <f t="shared" si="7"/>
        <v>26.833</v>
      </c>
      <c r="K52" s="17">
        <f t="shared" si="8"/>
        <v>0.965</v>
      </c>
      <c r="L52" s="10">
        <f t="shared" si="9"/>
        <v>0.137</v>
      </c>
      <c r="M52" s="10">
        <f t="shared" si="10"/>
        <v>0.03853187092</v>
      </c>
      <c r="N52" s="18">
        <f t="shared" si="11"/>
        <v>3.99</v>
      </c>
      <c r="O52" s="9">
        <f t="shared" si="12"/>
        <v>60</v>
      </c>
      <c r="P52" s="9">
        <f t="shared" si="13"/>
        <v>85</v>
      </c>
    </row>
    <row r="53">
      <c r="A53" s="8">
        <v>52.0</v>
      </c>
      <c r="B53" s="8">
        <v>0.704</v>
      </c>
      <c r="C53" s="8">
        <v>3.544</v>
      </c>
      <c r="D53" s="9">
        <f t="shared" si="1"/>
        <v>946.76</v>
      </c>
      <c r="E53" s="9">
        <f t="shared" si="2"/>
        <v>0.7</v>
      </c>
      <c r="F53" s="10">
        <f t="shared" si="3"/>
        <v>2.00758377</v>
      </c>
      <c r="G53" s="11">
        <f t="shared" si="4"/>
        <v>139.55</v>
      </c>
      <c r="H53" s="10">
        <f t="shared" si="5"/>
        <v>163.355</v>
      </c>
      <c r="I53" s="10">
        <f t="shared" si="6"/>
        <v>45.48</v>
      </c>
      <c r="J53" s="12">
        <f t="shared" si="7"/>
        <v>32.59</v>
      </c>
      <c r="K53" s="17">
        <f t="shared" si="8"/>
        <v>0.96</v>
      </c>
      <c r="L53" s="10">
        <f t="shared" si="9"/>
        <v>0.14</v>
      </c>
      <c r="M53" s="10">
        <f t="shared" si="10"/>
        <v>0.0389762489</v>
      </c>
      <c r="N53" s="18">
        <f t="shared" si="11"/>
        <v>4.06</v>
      </c>
      <c r="O53" s="9">
        <f t="shared" si="12"/>
        <v>60</v>
      </c>
      <c r="P53" s="9">
        <f t="shared" si="13"/>
        <v>86.67</v>
      </c>
    </row>
    <row r="54">
      <c r="A54" s="8">
        <v>53.0</v>
      </c>
      <c r="B54" s="15">
        <v>1.137</v>
      </c>
      <c r="C54" s="8">
        <v>5.714</v>
      </c>
      <c r="D54" s="9">
        <f t="shared" si="1"/>
        <v>1203.19</v>
      </c>
      <c r="E54" s="16">
        <f t="shared" si="2"/>
        <v>0.44</v>
      </c>
      <c r="F54" s="10">
        <f t="shared" si="3"/>
        <v>2.006646805</v>
      </c>
      <c r="G54" s="11">
        <f t="shared" si="4"/>
        <v>159.62</v>
      </c>
      <c r="H54" s="10">
        <f t="shared" si="5"/>
        <v>217.985</v>
      </c>
      <c r="I54" s="10">
        <f t="shared" si="6"/>
        <v>60.08</v>
      </c>
      <c r="J54" s="12">
        <f t="shared" si="7"/>
        <v>37.639</v>
      </c>
      <c r="K54" s="17">
        <f t="shared" si="8"/>
        <v>0.951</v>
      </c>
      <c r="L54" s="10">
        <f t="shared" si="9"/>
        <v>0.156</v>
      </c>
      <c r="M54" s="10">
        <f t="shared" si="10"/>
        <v>0.04299892534</v>
      </c>
      <c r="N54" s="18">
        <f t="shared" si="11"/>
        <v>4.52</v>
      </c>
      <c r="O54" s="9">
        <f t="shared" si="12"/>
        <v>60</v>
      </c>
      <c r="P54" s="9">
        <f t="shared" si="13"/>
        <v>88.33</v>
      </c>
    </row>
    <row r="55">
      <c r="A55" s="8">
        <v>54.0</v>
      </c>
      <c r="B55" s="8">
        <v>0.006</v>
      </c>
      <c r="C55" s="8">
        <v>0.365</v>
      </c>
      <c r="D55" s="9">
        <f t="shared" si="1"/>
        <v>87.4</v>
      </c>
      <c r="E55" s="9">
        <f t="shared" si="2"/>
        <v>0.57</v>
      </c>
      <c r="F55" s="10">
        <f t="shared" si="3"/>
        <v>2.005745995</v>
      </c>
      <c r="G55" s="11">
        <f t="shared" si="4"/>
        <v>158.28</v>
      </c>
      <c r="H55" s="10">
        <f t="shared" si="5"/>
        <v>216.142</v>
      </c>
      <c r="I55" s="10">
        <f t="shared" si="6"/>
        <v>59</v>
      </c>
      <c r="J55" s="12">
        <f t="shared" si="7"/>
        <v>37.276</v>
      </c>
      <c r="K55" s="17">
        <f t="shared" si="8"/>
        <v>0.944</v>
      </c>
      <c r="L55" s="10">
        <f t="shared" si="9"/>
        <v>0.163</v>
      </c>
      <c r="M55" s="10">
        <f t="shared" si="10"/>
        <v>0.04449043564</v>
      </c>
      <c r="N55" s="18">
        <f t="shared" si="11"/>
        <v>4.71</v>
      </c>
      <c r="O55" s="9">
        <f t="shared" si="12"/>
        <v>60</v>
      </c>
      <c r="P55" s="9">
        <f t="shared" si="13"/>
        <v>90</v>
      </c>
    </row>
    <row r="56">
      <c r="A56" s="8">
        <v>55.0</v>
      </c>
      <c r="B56" s="15">
        <v>0.803</v>
      </c>
      <c r="C56" s="8">
        <v>4.429</v>
      </c>
      <c r="D56" s="9">
        <f t="shared" si="1"/>
        <v>1011.14</v>
      </c>
      <c r="E56" s="16">
        <f t="shared" si="2"/>
        <v>0.51</v>
      </c>
      <c r="F56" s="10">
        <f t="shared" si="3"/>
        <v>2.004879288</v>
      </c>
      <c r="G56" s="11">
        <f t="shared" si="4"/>
        <v>173.79</v>
      </c>
      <c r="H56" s="10">
        <f t="shared" si="5"/>
        <v>243.058</v>
      </c>
      <c r="I56" s="10">
        <f t="shared" si="6"/>
        <v>65.71</v>
      </c>
      <c r="J56" s="12">
        <f t="shared" si="7"/>
        <v>37.81</v>
      </c>
      <c r="K56" s="17">
        <f t="shared" si="8"/>
        <v>0.936</v>
      </c>
      <c r="L56" s="10">
        <f t="shared" si="9"/>
        <v>0.172</v>
      </c>
      <c r="M56" s="10">
        <f t="shared" si="10"/>
        <v>0.04649811331</v>
      </c>
      <c r="N56" s="18">
        <f t="shared" si="11"/>
        <v>4.97</v>
      </c>
      <c r="O56" s="9">
        <f t="shared" si="12"/>
        <v>60</v>
      </c>
      <c r="P56" s="9">
        <f t="shared" si="13"/>
        <v>91.67</v>
      </c>
    </row>
    <row r="57">
      <c r="A57" s="8">
        <v>56.0</v>
      </c>
      <c r="B57" s="15">
        <v>0.001</v>
      </c>
      <c r="C57" s="8">
        <v>0.127</v>
      </c>
      <c r="D57" s="9">
        <f t="shared" si="1"/>
        <v>35.68</v>
      </c>
      <c r="E57" s="16">
        <f t="shared" si="2"/>
        <v>0.78</v>
      </c>
      <c r="F57" s="10">
        <f t="shared" si="3"/>
        <v>2.004044783</v>
      </c>
      <c r="G57" s="11">
        <f t="shared" si="4"/>
        <v>171.32</v>
      </c>
      <c r="H57" s="10">
        <f t="shared" si="5"/>
        <v>241.544</v>
      </c>
      <c r="I57" s="10">
        <f t="shared" si="6"/>
        <v>64.69</v>
      </c>
      <c r="J57" s="12">
        <f t="shared" si="7"/>
        <v>37.76</v>
      </c>
      <c r="K57" s="17">
        <f t="shared" si="8"/>
        <v>0.933</v>
      </c>
      <c r="L57" s="10">
        <f t="shared" si="9"/>
        <v>0.172</v>
      </c>
      <c r="M57" s="10">
        <f t="shared" si="10"/>
        <v>0.0460619008</v>
      </c>
      <c r="N57" s="18">
        <f t="shared" si="11"/>
        <v>4.94</v>
      </c>
      <c r="O57" s="9">
        <f t="shared" si="12"/>
        <v>60</v>
      </c>
      <c r="P57" s="9">
        <f t="shared" si="13"/>
        <v>93.33</v>
      </c>
    </row>
    <row r="58">
      <c r="A58" s="8">
        <v>57.0</v>
      </c>
      <c r="B58" s="8">
        <v>0.001</v>
      </c>
      <c r="C58" s="8">
        <v>0.127</v>
      </c>
      <c r="D58" s="9">
        <f t="shared" si="1"/>
        <v>35.68</v>
      </c>
      <c r="E58" s="9">
        <f t="shared" si="2"/>
        <v>0.78</v>
      </c>
      <c r="F58" s="10">
        <f t="shared" si="3"/>
        <v>2.003240719</v>
      </c>
      <c r="G58" s="11">
        <f t="shared" si="4"/>
        <v>168.95</v>
      </c>
      <c r="H58" s="10">
        <f t="shared" si="5"/>
        <v>240.051</v>
      </c>
      <c r="I58" s="10">
        <f t="shared" si="6"/>
        <v>63.69</v>
      </c>
      <c r="J58" s="12">
        <f t="shared" si="7"/>
        <v>37.698</v>
      </c>
      <c r="K58" s="17">
        <f t="shared" si="8"/>
        <v>0.93</v>
      </c>
      <c r="L58" s="10">
        <f t="shared" si="9"/>
        <v>0.171</v>
      </c>
      <c r="M58" s="10">
        <f t="shared" si="10"/>
        <v>0.04537240728</v>
      </c>
      <c r="N58" s="18">
        <f t="shared" si="11"/>
        <v>4.88</v>
      </c>
      <c r="O58" s="9">
        <f t="shared" si="12"/>
        <v>60</v>
      </c>
      <c r="P58" s="9">
        <f t="shared" si="13"/>
        <v>95</v>
      </c>
    </row>
    <row r="59">
      <c r="A59" s="8">
        <v>58.0</v>
      </c>
      <c r="B59" s="15">
        <v>7.129E-4</v>
      </c>
      <c r="C59" s="8">
        <v>0.095</v>
      </c>
      <c r="D59" s="9">
        <f t="shared" si="1"/>
        <v>30.13</v>
      </c>
      <c r="E59" s="16">
        <f t="shared" si="2"/>
        <v>0.99</v>
      </c>
      <c r="F59" s="10">
        <f t="shared" si="3"/>
        <v>2.002465459</v>
      </c>
      <c r="G59" s="11">
        <f t="shared" si="4"/>
        <v>166.55</v>
      </c>
      <c r="H59" s="10">
        <f t="shared" si="5"/>
        <v>238.633</v>
      </c>
      <c r="I59" s="10">
        <f t="shared" si="6"/>
        <v>62.75</v>
      </c>
      <c r="J59" s="12">
        <f t="shared" si="7"/>
        <v>37.676</v>
      </c>
      <c r="K59" s="17">
        <f t="shared" si="8"/>
        <v>0.931</v>
      </c>
      <c r="L59" s="10">
        <f t="shared" si="9"/>
        <v>0.17</v>
      </c>
      <c r="M59" s="10">
        <f t="shared" si="10"/>
        <v>0.04469922139</v>
      </c>
      <c r="N59" s="18">
        <f t="shared" si="11"/>
        <v>4.8</v>
      </c>
      <c r="O59" s="9">
        <f t="shared" si="12"/>
        <v>60</v>
      </c>
      <c r="P59" s="9">
        <f t="shared" si="13"/>
        <v>96.67</v>
      </c>
    </row>
    <row r="60">
      <c r="A60" s="8">
        <v>59.0</v>
      </c>
      <c r="B60" s="8">
        <v>0.002</v>
      </c>
      <c r="C60" s="8">
        <v>0.175</v>
      </c>
      <c r="D60" s="9">
        <f t="shared" si="1"/>
        <v>50.46</v>
      </c>
      <c r="E60" s="9">
        <f t="shared" si="2"/>
        <v>0.82</v>
      </c>
      <c r="F60" s="10">
        <f t="shared" si="3"/>
        <v>2.001717484</v>
      </c>
      <c r="G60" s="11">
        <f t="shared" si="4"/>
        <v>164.58</v>
      </c>
      <c r="H60" s="10">
        <f t="shared" si="5"/>
        <v>237.05</v>
      </c>
      <c r="I60" s="10">
        <f t="shared" si="6"/>
        <v>61.78</v>
      </c>
      <c r="J60" s="12">
        <f t="shared" si="7"/>
        <v>37.538</v>
      </c>
      <c r="K60" s="17">
        <f t="shared" si="8"/>
        <v>0.929</v>
      </c>
      <c r="L60" s="10">
        <f t="shared" si="9"/>
        <v>0.169</v>
      </c>
      <c r="M60" s="10">
        <f t="shared" si="10"/>
        <v>0.04404163987</v>
      </c>
      <c r="N60" s="18">
        <f t="shared" si="11"/>
        <v>4.74</v>
      </c>
      <c r="O60" s="9">
        <f t="shared" si="12"/>
        <v>60</v>
      </c>
      <c r="P60" s="9">
        <f t="shared" si="13"/>
        <v>98.33</v>
      </c>
    </row>
    <row r="61">
      <c r="A61" s="8">
        <v>60.0</v>
      </c>
      <c r="B61" s="15">
        <v>0.054</v>
      </c>
      <c r="C61" s="8">
        <v>1.308</v>
      </c>
      <c r="D61" s="9">
        <f t="shared" si="1"/>
        <v>262.21</v>
      </c>
      <c r="E61" s="16">
        <f t="shared" si="2"/>
        <v>0.4</v>
      </c>
      <c r="F61" s="10">
        <f t="shared" si="3"/>
        <v>2.000995378</v>
      </c>
      <c r="G61" s="11">
        <f t="shared" si="4"/>
        <v>166.21</v>
      </c>
      <c r="H61" s="10">
        <f t="shared" si="5"/>
        <v>235.37</v>
      </c>
      <c r="I61" s="10">
        <f t="shared" si="6"/>
        <v>60.8</v>
      </c>
      <c r="J61" s="12">
        <f t="shared" si="7"/>
        <v>36.58</v>
      </c>
      <c r="K61" s="17">
        <f t="shared" si="8"/>
        <v>0.921</v>
      </c>
      <c r="L61" s="10">
        <f t="shared" si="9"/>
        <v>0.181</v>
      </c>
      <c r="M61" s="10">
        <f t="shared" si="10"/>
        <v>0.04675725804</v>
      </c>
      <c r="N61" s="18">
        <f t="shared" si="11"/>
        <v>5.08</v>
      </c>
      <c r="O61" s="9">
        <f t="shared" si="12"/>
        <v>60</v>
      </c>
      <c r="P61" s="9">
        <f t="shared" si="13"/>
        <v>100</v>
      </c>
    </row>
    <row r="62">
      <c r="B62" s="15"/>
      <c r="D62" s="9"/>
      <c r="E62" s="9"/>
      <c r="F62" s="10"/>
      <c r="G62" s="11"/>
      <c r="H62" s="10"/>
      <c r="I62" s="10"/>
      <c r="J62" s="12"/>
      <c r="K62" s="13"/>
      <c r="L62" s="10"/>
      <c r="M62" s="10"/>
      <c r="N62" s="14"/>
      <c r="O62" s="9"/>
      <c r="P62" s="9"/>
    </row>
    <row r="63">
      <c r="B63" s="15"/>
      <c r="D63" s="9"/>
      <c r="E63" s="9"/>
      <c r="F63" s="10"/>
      <c r="G63" s="11"/>
      <c r="H63" s="10"/>
      <c r="I63" s="10"/>
      <c r="J63" s="12"/>
      <c r="K63" s="13"/>
      <c r="L63" s="10"/>
      <c r="M63" s="10"/>
      <c r="N63" s="14"/>
      <c r="O63" s="9"/>
      <c r="P63" s="9"/>
    </row>
    <row r="64">
      <c r="B64" s="15"/>
      <c r="D64" s="9"/>
      <c r="E64" s="9"/>
      <c r="F64" s="10"/>
      <c r="G64" s="11"/>
      <c r="H64" s="10"/>
      <c r="I64" s="10"/>
      <c r="J64" s="12"/>
      <c r="K64" s="13"/>
      <c r="L64" s="10"/>
      <c r="M64" s="10"/>
      <c r="N64" s="14"/>
      <c r="O64" s="9"/>
      <c r="P64" s="9"/>
    </row>
    <row r="65">
      <c r="B65" s="15"/>
      <c r="D65" s="9"/>
      <c r="E65" s="9"/>
      <c r="F65" s="10"/>
      <c r="G65" s="11"/>
      <c r="H65" s="10"/>
      <c r="I65" s="10"/>
      <c r="J65" s="12"/>
      <c r="K65" s="13"/>
      <c r="L65" s="10"/>
      <c r="M65" s="10"/>
      <c r="N65" s="14"/>
      <c r="O65" s="9"/>
      <c r="P65" s="9"/>
    </row>
    <row r="66">
      <c r="B66" s="15"/>
      <c r="D66" s="9"/>
      <c r="E66" s="9"/>
      <c r="F66" s="10"/>
      <c r="G66" s="11"/>
      <c r="H66" s="10"/>
      <c r="I66" s="10"/>
      <c r="J66" s="12"/>
      <c r="K66" s="13"/>
      <c r="L66" s="10"/>
      <c r="M66" s="10"/>
      <c r="N66" s="14"/>
      <c r="O66" s="9"/>
      <c r="P66" s="9"/>
    </row>
    <row r="67">
      <c r="B67" s="15"/>
      <c r="D67" s="9"/>
      <c r="E67" s="9"/>
      <c r="F67" s="10"/>
      <c r="G67" s="11"/>
      <c r="H67" s="10"/>
      <c r="I67" s="10"/>
      <c r="J67" s="12"/>
      <c r="K67" s="13"/>
      <c r="L67" s="10"/>
      <c r="M67" s="10"/>
      <c r="N67" s="14"/>
      <c r="O67" s="9"/>
      <c r="P67" s="9"/>
    </row>
    <row r="68">
      <c r="D68" s="9"/>
      <c r="E68" s="9"/>
      <c r="F68" s="10"/>
      <c r="G68" s="11"/>
      <c r="H68" s="10"/>
      <c r="I68" s="10"/>
      <c r="J68" s="12"/>
      <c r="K68" s="13"/>
      <c r="L68" s="10"/>
      <c r="M68" s="10"/>
      <c r="N68" s="14"/>
      <c r="O68" s="9"/>
      <c r="P68" s="9"/>
    </row>
    <row r="69">
      <c r="B69" s="15"/>
      <c r="D69" s="9"/>
      <c r="E69" s="9"/>
      <c r="F69" s="10"/>
      <c r="G69" s="11"/>
      <c r="H69" s="10"/>
      <c r="I69" s="10"/>
      <c r="J69" s="12"/>
      <c r="K69" s="13"/>
      <c r="L69" s="10"/>
      <c r="M69" s="10"/>
      <c r="N69" s="14"/>
      <c r="O69" s="9"/>
      <c r="P69" s="9"/>
    </row>
    <row r="70">
      <c r="B70" s="15"/>
      <c r="D70" s="9"/>
      <c r="E70" s="9"/>
      <c r="F70" s="10"/>
      <c r="G70" s="11"/>
      <c r="H70" s="10"/>
      <c r="I70" s="10"/>
      <c r="J70" s="12"/>
      <c r="K70" s="13"/>
      <c r="L70" s="10"/>
      <c r="M70" s="10"/>
      <c r="N70" s="14"/>
      <c r="O70" s="9"/>
      <c r="P70" s="9"/>
    </row>
    <row r="71">
      <c r="B71" s="15"/>
      <c r="D71" s="9"/>
      <c r="E71" s="9"/>
      <c r="F71" s="10"/>
      <c r="G71" s="11"/>
      <c r="H71" s="10"/>
      <c r="I71" s="10"/>
      <c r="J71" s="12"/>
      <c r="K71" s="13"/>
      <c r="L71" s="10"/>
      <c r="M71" s="10"/>
      <c r="N71" s="14"/>
      <c r="O71" s="9"/>
      <c r="P71" s="9"/>
    </row>
    <row r="72">
      <c r="B72" s="15"/>
      <c r="D72" s="9"/>
      <c r="E72" s="9"/>
      <c r="F72" s="10"/>
      <c r="G72" s="11"/>
      <c r="H72" s="10"/>
      <c r="I72" s="10"/>
      <c r="J72" s="12"/>
      <c r="K72" s="13"/>
      <c r="L72" s="10"/>
      <c r="M72" s="10"/>
      <c r="N72" s="14"/>
      <c r="O72" s="9"/>
      <c r="P72" s="9"/>
    </row>
    <row r="73">
      <c r="B73" s="15"/>
      <c r="D73" s="9"/>
      <c r="E73" s="9"/>
      <c r="F73" s="10"/>
      <c r="G73" s="11"/>
      <c r="H73" s="10"/>
      <c r="I73" s="10"/>
      <c r="J73" s="12"/>
      <c r="K73" s="13"/>
      <c r="L73" s="10"/>
      <c r="M73" s="10"/>
      <c r="N73" s="14"/>
      <c r="O73" s="9"/>
      <c r="P73" s="9"/>
    </row>
    <row r="74">
      <c r="B74" s="15"/>
      <c r="D74" s="9"/>
      <c r="E74" s="9"/>
      <c r="F74" s="10"/>
      <c r="G74" s="11"/>
      <c r="H74" s="10"/>
      <c r="I74" s="10"/>
      <c r="J74" s="12"/>
      <c r="K74" s="13"/>
      <c r="L74" s="10"/>
      <c r="M74" s="10"/>
      <c r="N74" s="14"/>
      <c r="O74" s="9"/>
      <c r="P74" s="9"/>
    </row>
    <row r="75">
      <c r="B75" s="15"/>
      <c r="D75" s="9"/>
      <c r="E75" s="9"/>
      <c r="F75" s="10"/>
      <c r="G75" s="11"/>
      <c r="H75" s="10"/>
      <c r="I75" s="10"/>
      <c r="J75" s="12"/>
      <c r="K75" s="13"/>
      <c r="L75" s="10"/>
      <c r="M75" s="10"/>
      <c r="N75" s="14"/>
      <c r="O75" s="9"/>
      <c r="P75" s="9"/>
    </row>
    <row r="76">
      <c r="D76" s="9"/>
      <c r="E76" s="9"/>
      <c r="F76" s="10"/>
      <c r="G76" s="11"/>
      <c r="H76" s="10"/>
      <c r="I76" s="10"/>
      <c r="J76" s="12"/>
      <c r="K76" s="13"/>
      <c r="L76" s="10"/>
      <c r="M76" s="10"/>
      <c r="N76" s="14"/>
      <c r="O76" s="9"/>
      <c r="P76" s="9"/>
    </row>
    <row r="77">
      <c r="B77" s="15"/>
      <c r="D77" s="9"/>
      <c r="E77" s="9"/>
      <c r="F77" s="10"/>
      <c r="G77" s="11"/>
      <c r="H77" s="10"/>
      <c r="I77" s="10"/>
      <c r="J77" s="12"/>
      <c r="K77" s="13"/>
      <c r="L77" s="10"/>
      <c r="M77" s="10"/>
      <c r="N77" s="14"/>
      <c r="O77" s="9"/>
      <c r="P77" s="9"/>
    </row>
    <row r="78">
      <c r="B78" s="15"/>
      <c r="D78" s="9"/>
      <c r="E78" s="9"/>
      <c r="F78" s="10"/>
      <c r="G78" s="11"/>
      <c r="H78" s="10"/>
      <c r="I78" s="10"/>
      <c r="J78" s="12"/>
      <c r="K78" s="13"/>
      <c r="L78" s="10"/>
      <c r="M78" s="10"/>
      <c r="N78" s="14"/>
      <c r="O78" s="9"/>
      <c r="P78" s="9"/>
    </row>
    <row r="79">
      <c r="D79" s="9"/>
      <c r="E79" s="9"/>
      <c r="F79" s="10"/>
      <c r="G79" s="11"/>
      <c r="H79" s="10"/>
      <c r="I79" s="10"/>
      <c r="J79" s="12"/>
      <c r="K79" s="13"/>
      <c r="L79" s="10"/>
      <c r="M79" s="10"/>
      <c r="N79" s="14"/>
      <c r="O79" s="9"/>
      <c r="P79" s="9"/>
    </row>
    <row r="80">
      <c r="B80" s="15"/>
      <c r="D80" s="9"/>
      <c r="E80" s="9"/>
      <c r="F80" s="10"/>
      <c r="G80" s="11"/>
      <c r="H80" s="10"/>
      <c r="I80" s="10"/>
      <c r="J80" s="12"/>
      <c r="K80" s="13"/>
      <c r="L80" s="10"/>
      <c r="M80" s="10"/>
      <c r="N80" s="14"/>
      <c r="O80" s="9"/>
      <c r="P80" s="9"/>
    </row>
    <row r="81">
      <c r="D81" s="9"/>
      <c r="E81" s="9"/>
      <c r="F81" s="10"/>
      <c r="G81" s="11"/>
      <c r="H81" s="10"/>
      <c r="I81" s="10"/>
      <c r="J81" s="12"/>
      <c r="K81" s="13"/>
      <c r="L81" s="10"/>
      <c r="M81" s="10"/>
      <c r="N81" s="14"/>
      <c r="O81" s="9"/>
      <c r="P81" s="9"/>
    </row>
    <row r="82">
      <c r="D82" s="9"/>
      <c r="E82" s="9"/>
      <c r="F82" s="10"/>
      <c r="G82" s="11"/>
      <c r="H82" s="10"/>
      <c r="I82" s="10"/>
      <c r="J82" s="12"/>
      <c r="K82" s="13"/>
      <c r="L82" s="10"/>
      <c r="M82" s="10"/>
      <c r="N82" s="14"/>
      <c r="O82" s="9"/>
      <c r="P82" s="9"/>
    </row>
    <row r="83">
      <c r="B83" s="15"/>
      <c r="D83" s="9"/>
      <c r="E83" s="9"/>
      <c r="F83" s="10"/>
      <c r="G83" s="11"/>
      <c r="H83" s="10"/>
      <c r="I83" s="10"/>
      <c r="J83" s="12"/>
      <c r="K83" s="13"/>
      <c r="L83" s="10"/>
      <c r="M83" s="10"/>
      <c r="N83" s="14"/>
      <c r="O83" s="9"/>
      <c r="P83" s="9"/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0.017</v>
      </c>
      <c r="C2" s="8">
        <v>0.616</v>
      </c>
      <c r="D2" s="9">
        <f t="shared" ref="D2:D21" si="1">ROUND(2*SQRT(B2/PI())*1000,2)</f>
        <v>147.12</v>
      </c>
      <c r="E2" s="16">
        <f t="shared" ref="E2:E21" si="2">ROUND(4*PI()*B2/C2/C2,2)</f>
        <v>0.56</v>
      </c>
      <c r="F2" s="10" t="str">
        <f t="shared" ref="F2:F21" si="3">_xlfn.T.INV(1-0.5*0.05,A2-1)</f>
        <v>#NUM!</v>
      </c>
      <c r="G2" s="11">
        <f t="shared" ref="G2:G21" si="4">ROUND(AVERAGE(D$2:D2),2)</f>
        <v>147.12</v>
      </c>
      <c r="H2" s="10" t="str">
        <f t="shared" ref="H2:H21" si="5">ROUND(_xlfn.STDEV.S(D$2:D2),3)</f>
        <v>#DIV/0!</v>
      </c>
      <c r="I2" s="10" t="str">
        <f t="shared" ref="I2:I21" si="6">ROUND(H2*F2/SQRT(A2),2)</f>
        <v>#DIV/0!</v>
      </c>
      <c r="J2" s="12" t="str">
        <f t="shared" ref="J2:J21" si="7">ROUND(100*I2/G2,3)</f>
        <v>#DIV/0!</v>
      </c>
      <c r="K2" s="17">
        <f t="shared" ref="K2:K21" si="8">ROUND(AVERAGE(E$2:E2),3)</f>
        <v>0.56</v>
      </c>
      <c r="L2" s="10" t="str">
        <f t="shared" ref="L2:L21" si="9">ROUND(_xlfn.STDEV.S(E$2:E2),3)</f>
        <v>#DIV/0!</v>
      </c>
      <c r="M2" s="10" t="str">
        <f t="shared" ref="M2:M21" si="10">L2*F2/SQRT(A2)</f>
        <v>#DIV/0!</v>
      </c>
      <c r="N2" s="14" t="str">
        <f t="shared" ref="N2:N21" si="11">ROUND(M2*100/K2,2)</f>
        <v>#DIV/0!</v>
      </c>
      <c r="O2" s="9">
        <f t="shared" ref="O2:O21" si="12">COUNT(A:A)</f>
        <v>20</v>
      </c>
      <c r="P2" s="9">
        <f t="shared" ref="P2:P21" si="13">ROUND(A2*100/O2,2)</f>
        <v>5</v>
      </c>
    </row>
    <row r="3">
      <c r="A3" s="8">
        <v>2.0</v>
      </c>
      <c r="B3" s="15">
        <v>0.03</v>
      </c>
      <c r="C3" s="8">
        <v>0.648</v>
      </c>
      <c r="D3" s="9">
        <f t="shared" si="1"/>
        <v>195.44</v>
      </c>
      <c r="E3" s="16">
        <f t="shared" si="2"/>
        <v>0.9</v>
      </c>
      <c r="F3" s="10">
        <f t="shared" si="3"/>
        <v>12.70620474</v>
      </c>
      <c r="G3" s="11">
        <f t="shared" si="4"/>
        <v>171.28</v>
      </c>
      <c r="H3" s="10">
        <f t="shared" si="5"/>
        <v>34.167</v>
      </c>
      <c r="I3" s="10">
        <f t="shared" si="6"/>
        <v>306.98</v>
      </c>
      <c r="J3" s="12">
        <f t="shared" si="7"/>
        <v>179.227</v>
      </c>
      <c r="K3" s="17">
        <f t="shared" si="8"/>
        <v>0.73</v>
      </c>
      <c r="L3" s="10">
        <f t="shared" si="9"/>
        <v>0.24</v>
      </c>
      <c r="M3" s="10">
        <f t="shared" si="10"/>
        <v>2.156314448</v>
      </c>
      <c r="N3" s="18">
        <f t="shared" si="11"/>
        <v>295.39</v>
      </c>
      <c r="O3" s="9">
        <f t="shared" si="12"/>
        <v>20</v>
      </c>
      <c r="P3" s="9">
        <f t="shared" si="13"/>
        <v>10</v>
      </c>
    </row>
    <row r="4">
      <c r="A4" s="8">
        <v>3.0</v>
      </c>
      <c r="B4" s="15">
        <v>2.101E-4</v>
      </c>
      <c r="C4" s="8">
        <v>0.056</v>
      </c>
      <c r="D4" s="9">
        <f t="shared" si="1"/>
        <v>16.36</v>
      </c>
      <c r="E4" s="16">
        <f t="shared" si="2"/>
        <v>0.84</v>
      </c>
      <c r="F4" s="10">
        <f t="shared" si="3"/>
        <v>4.30265273</v>
      </c>
      <c r="G4" s="11">
        <f t="shared" si="4"/>
        <v>119.64</v>
      </c>
      <c r="H4" s="10">
        <f t="shared" si="5"/>
        <v>92.649</v>
      </c>
      <c r="I4" s="10">
        <f t="shared" si="6"/>
        <v>230.15</v>
      </c>
      <c r="J4" s="12">
        <f t="shared" si="7"/>
        <v>192.369</v>
      </c>
      <c r="K4" s="17">
        <f t="shared" si="8"/>
        <v>0.767</v>
      </c>
      <c r="L4" s="10">
        <f t="shared" si="9"/>
        <v>0.181</v>
      </c>
      <c r="M4" s="10">
        <f t="shared" si="10"/>
        <v>0.4496289258</v>
      </c>
      <c r="N4" s="18">
        <f t="shared" si="11"/>
        <v>58.62</v>
      </c>
      <c r="O4" s="9">
        <f t="shared" si="12"/>
        <v>20</v>
      </c>
      <c r="P4" s="9">
        <f t="shared" si="13"/>
        <v>15</v>
      </c>
    </row>
    <row r="5">
      <c r="A5" s="8">
        <v>4.0</v>
      </c>
      <c r="B5" s="15">
        <v>0.003</v>
      </c>
      <c r="C5" s="8">
        <v>0.193</v>
      </c>
      <c r="D5" s="9">
        <f t="shared" si="1"/>
        <v>61.8</v>
      </c>
      <c r="E5" s="16">
        <f t="shared" si="2"/>
        <v>1.01</v>
      </c>
      <c r="F5" s="10">
        <f t="shared" si="3"/>
        <v>3.182446305</v>
      </c>
      <c r="G5" s="11">
        <f t="shared" si="4"/>
        <v>105.18</v>
      </c>
      <c r="H5" s="10">
        <f t="shared" si="5"/>
        <v>80.987</v>
      </c>
      <c r="I5" s="10">
        <f t="shared" si="6"/>
        <v>128.87</v>
      </c>
      <c r="J5" s="12">
        <f t="shared" si="7"/>
        <v>122.523</v>
      </c>
      <c r="K5" s="17">
        <f t="shared" si="8"/>
        <v>0.828</v>
      </c>
      <c r="L5" s="10">
        <f t="shared" si="9"/>
        <v>0.192</v>
      </c>
      <c r="M5" s="10">
        <f t="shared" si="10"/>
        <v>0.3055148453</v>
      </c>
      <c r="N5" s="18">
        <f t="shared" si="11"/>
        <v>36.9</v>
      </c>
      <c r="O5" s="9">
        <f t="shared" si="12"/>
        <v>20</v>
      </c>
      <c r="P5" s="9">
        <f t="shared" si="13"/>
        <v>20</v>
      </c>
    </row>
    <row r="6">
      <c r="A6" s="8">
        <v>5.0</v>
      </c>
      <c r="B6" s="15">
        <v>5.092E-5</v>
      </c>
      <c r="C6" s="8">
        <v>0.025</v>
      </c>
      <c r="D6" s="9">
        <f t="shared" si="1"/>
        <v>8.05</v>
      </c>
      <c r="E6" s="16">
        <f t="shared" si="2"/>
        <v>1.02</v>
      </c>
      <c r="F6" s="10">
        <f t="shared" si="3"/>
        <v>2.776445105</v>
      </c>
      <c r="G6" s="11">
        <f t="shared" si="4"/>
        <v>85.75</v>
      </c>
      <c r="H6" s="10">
        <f t="shared" si="5"/>
        <v>82.499</v>
      </c>
      <c r="I6" s="10">
        <f t="shared" si="6"/>
        <v>102.44</v>
      </c>
      <c r="J6" s="12">
        <f t="shared" si="7"/>
        <v>119.464</v>
      </c>
      <c r="K6" s="17">
        <f t="shared" si="8"/>
        <v>0.866</v>
      </c>
      <c r="L6" s="10">
        <f t="shared" si="9"/>
        <v>0.187</v>
      </c>
      <c r="M6" s="10">
        <f t="shared" si="10"/>
        <v>0.2321911677</v>
      </c>
      <c r="N6" s="18">
        <f t="shared" si="11"/>
        <v>26.81</v>
      </c>
      <c r="O6" s="9">
        <f t="shared" si="12"/>
        <v>20</v>
      </c>
      <c r="P6" s="9">
        <f t="shared" si="13"/>
        <v>25</v>
      </c>
    </row>
    <row r="7">
      <c r="A7" s="8">
        <v>6.0</v>
      </c>
      <c r="B7" s="15">
        <v>3.183E-4</v>
      </c>
      <c r="C7" s="8">
        <v>0.062</v>
      </c>
      <c r="D7" s="9">
        <f t="shared" si="1"/>
        <v>20.13</v>
      </c>
      <c r="E7" s="16">
        <f t="shared" si="2"/>
        <v>1.04</v>
      </c>
      <c r="F7" s="10">
        <f t="shared" si="3"/>
        <v>2.570581836</v>
      </c>
      <c r="G7" s="11">
        <f t="shared" si="4"/>
        <v>74.82</v>
      </c>
      <c r="H7" s="10">
        <f t="shared" si="5"/>
        <v>78.502</v>
      </c>
      <c r="I7" s="10">
        <f t="shared" si="6"/>
        <v>82.38</v>
      </c>
      <c r="J7" s="12">
        <f t="shared" si="7"/>
        <v>110.104</v>
      </c>
      <c r="K7" s="17">
        <f t="shared" si="8"/>
        <v>0.895</v>
      </c>
      <c r="L7" s="10">
        <f t="shared" si="9"/>
        <v>0.182</v>
      </c>
      <c r="M7" s="10">
        <f t="shared" si="10"/>
        <v>0.1909972865</v>
      </c>
      <c r="N7" s="18">
        <f t="shared" si="11"/>
        <v>21.34</v>
      </c>
      <c r="O7" s="9">
        <f t="shared" si="12"/>
        <v>20</v>
      </c>
      <c r="P7" s="9">
        <f t="shared" si="13"/>
        <v>30</v>
      </c>
    </row>
    <row r="8">
      <c r="A8" s="8">
        <v>7.0</v>
      </c>
      <c r="B8" s="15">
        <v>0.015</v>
      </c>
      <c r="C8" s="8">
        <v>0.45</v>
      </c>
      <c r="D8" s="9">
        <f t="shared" si="1"/>
        <v>138.2</v>
      </c>
      <c r="E8" s="16">
        <f t="shared" si="2"/>
        <v>0.93</v>
      </c>
      <c r="F8" s="10">
        <f t="shared" si="3"/>
        <v>2.446911851</v>
      </c>
      <c r="G8" s="11">
        <f t="shared" si="4"/>
        <v>83.87</v>
      </c>
      <c r="H8" s="10">
        <f t="shared" si="5"/>
        <v>75.56</v>
      </c>
      <c r="I8" s="10">
        <f t="shared" si="6"/>
        <v>69.88</v>
      </c>
      <c r="J8" s="12">
        <f t="shared" si="7"/>
        <v>83.319</v>
      </c>
      <c r="K8" s="17">
        <f t="shared" si="8"/>
        <v>0.9</v>
      </c>
      <c r="L8" s="10">
        <f t="shared" si="9"/>
        <v>0.166</v>
      </c>
      <c r="M8" s="10">
        <f t="shared" si="10"/>
        <v>0.1535243942</v>
      </c>
      <c r="N8" s="18">
        <f t="shared" si="11"/>
        <v>17.06</v>
      </c>
      <c r="O8" s="9">
        <f t="shared" si="12"/>
        <v>20</v>
      </c>
      <c r="P8" s="9">
        <f t="shared" si="13"/>
        <v>35</v>
      </c>
    </row>
    <row r="9">
      <c r="A9" s="8">
        <v>8.0</v>
      </c>
      <c r="B9" s="15">
        <v>0.013</v>
      </c>
      <c r="C9" s="8">
        <v>0.419</v>
      </c>
      <c r="D9" s="9">
        <f t="shared" si="1"/>
        <v>128.66</v>
      </c>
      <c r="E9" s="16">
        <f t="shared" si="2"/>
        <v>0.93</v>
      </c>
      <c r="F9" s="10">
        <f t="shared" si="3"/>
        <v>2.364624252</v>
      </c>
      <c r="G9" s="11">
        <f t="shared" si="4"/>
        <v>89.47</v>
      </c>
      <c r="H9" s="10">
        <f t="shared" si="5"/>
        <v>71.725</v>
      </c>
      <c r="I9" s="10">
        <f t="shared" si="6"/>
        <v>59.96</v>
      </c>
      <c r="J9" s="12">
        <f t="shared" si="7"/>
        <v>67.017</v>
      </c>
      <c r="K9" s="17">
        <f t="shared" si="8"/>
        <v>0.904</v>
      </c>
      <c r="L9" s="10">
        <f t="shared" si="9"/>
        <v>0.154</v>
      </c>
      <c r="M9" s="10">
        <f t="shared" si="10"/>
        <v>0.1287472219</v>
      </c>
      <c r="N9" s="18">
        <f t="shared" si="11"/>
        <v>14.24</v>
      </c>
      <c r="O9" s="9">
        <f t="shared" si="12"/>
        <v>20</v>
      </c>
      <c r="P9" s="9">
        <f t="shared" si="13"/>
        <v>40</v>
      </c>
    </row>
    <row r="10">
      <c r="A10" s="8">
        <v>9.0</v>
      </c>
      <c r="B10" s="15">
        <v>0.035</v>
      </c>
      <c r="C10" s="8">
        <v>0.835</v>
      </c>
      <c r="D10" s="9">
        <f t="shared" si="1"/>
        <v>211.1</v>
      </c>
      <c r="E10" s="16">
        <f t="shared" si="2"/>
        <v>0.63</v>
      </c>
      <c r="F10" s="10">
        <f t="shared" si="3"/>
        <v>2.306004135</v>
      </c>
      <c r="G10" s="11">
        <f t="shared" si="4"/>
        <v>102.98</v>
      </c>
      <c r="H10" s="10">
        <f t="shared" si="5"/>
        <v>78.391</v>
      </c>
      <c r="I10" s="10">
        <f t="shared" si="6"/>
        <v>60.26</v>
      </c>
      <c r="J10" s="12">
        <f t="shared" si="7"/>
        <v>58.516</v>
      </c>
      <c r="K10" s="17">
        <f t="shared" si="8"/>
        <v>0.873</v>
      </c>
      <c r="L10" s="10">
        <f t="shared" si="9"/>
        <v>0.171</v>
      </c>
      <c r="M10" s="10">
        <f t="shared" si="10"/>
        <v>0.1314422357</v>
      </c>
      <c r="N10" s="18">
        <f t="shared" si="11"/>
        <v>15.06</v>
      </c>
      <c r="O10" s="9">
        <f t="shared" si="12"/>
        <v>20</v>
      </c>
      <c r="P10" s="9">
        <f t="shared" si="13"/>
        <v>45</v>
      </c>
    </row>
    <row r="11">
      <c r="A11" s="8">
        <v>10.0</v>
      </c>
      <c r="B11" s="15">
        <v>0.009</v>
      </c>
      <c r="C11" s="8">
        <v>0.461</v>
      </c>
      <c r="D11" s="9">
        <f t="shared" si="1"/>
        <v>107.05</v>
      </c>
      <c r="E11" s="16">
        <f t="shared" si="2"/>
        <v>0.53</v>
      </c>
      <c r="F11" s="10">
        <f t="shared" si="3"/>
        <v>2.262157163</v>
      </c>
      <c r="G11" s="11">
        <f t="shared" si="4"/>
        <v>103.39</v>
      </c>
      <c r="H11" s="10">
        <f t="shared" si="5"/>
        <v>73.919</v>
      </c>
      <c r="I11" s="10">
        <f t="shared" si="6"/>
        <v>52.88</v>
      </c>
      <c r="J11" s="12">
        <f t="shared" si="7"/>
        <v>51.146</v>
      </c>
      <c r="K11" s="17">
        <f t="shared" si="8"/>
        <v>0.839</v>
      </c>
      <c r="L11" s="10">
        <f t="shared" si="9"/>
        <v>0.194</v>
      </c>
      <c r="M11" s="10">
        <f t="shared" si="10"/>
        <v>0.1387792398</v>
      </c>
      <c r="N11" s="18">
        <f t="shared" si="11"/>
        <v>16.54</v>
      </c>
      <c r="O11" s="9">
        <f t="shared" si="12"/>
        <v>20</v>
      </c>
      <c r="P11" s="9">
        <f t="shared" si="13"/>
        <v>50</v>
      </c>
    </row>
    <row r="12">
      <c r="A12" s="8">
        <v>11.0</v>
      </c>
      <c r="B12" s="15">
        <v>0.029</v>
      </c>
      <c r="C12" s="8">
        <v>0.635</v>
      </c>
      <c r="D12" s="9">
        <f t="shared" si="1"/>
        <v>192.16</v>
      </c>
      <c r="E12" s="16">
        <f t="shared" si="2"/>
        <v>0.9</v>
      </c>
      <c r="F12" s="10">
        <f t="shared" si="3"/>
        <v>2.228138852</v>
      </c>
      <c r="G12" s="11">
        <f t="shared" si="4"/>
        <v>111.46</v>
      </c>
      <c r="H12" s="10">
        <f t="shared" si="5"/>
        <v>75.06</v>
      </c>
      <c r="I12" s="10">
        <f t="shared" si="6"/>
        <v>50.43</v>
      </c>
      <c r="J12" s="12">
        <f t="shared" si="7"/>
        <v>45.245</v>
      </c>
      <c r="K12" s="17">
        <f t="shared" si="8"/>
        <v>0.845</v>
      </c>
      <c r="L12" s="10">
        <f t="shared" si="9"/>
        <v>0.185</v>
      </c>
      <c r="M12" s="10">
        <f t="shared" si="10"/>
        <v>0.1242846911</v>
      </c>
      <c r="N12" s="18">
        <f t="shared" si="11"/>
        <v>14.71</v>
      </c>
      <c r="O12" s="9">
        <f t="shared" si="12"/>
        <v>20</v>
      </c>
      <c r="P12" s="9">
        <f t="shared" si="13"/>
        <v>55</v>
      </c>
    </row>
    <row r="13">
      <c r="A13" s="8">
        <v>12.0</v>
      </c>
      <c r="B13" s="15">
        <v>7.766E-4</v>
      </c>
      <c r="C13" s="8">
        <v>0.1</v>
      </c>
      <c r="D13" s="9">
        <f t="shared" si="1"/>
        <v>31.45</v>
      </c>
      <c r="E13" s="16">
        <f t="shared" si="2"/>
        <v>0.98</v>
      </c>
      <c r="F13" s="10">
        <f t="shared" si="3"/>
        <v>2.20098516</v>
      </c>
      <c r="G13" s="11">
        <f t="shared" si="4"/>
        <v>104.79</v>
      </c>
      <c r="H13" s="10">
        <f t="shared" si="5"/>
        <v>75.202</v>
      </c>
      <c r="I13" s="10">
        <f t="shared" si="6"/>
        <v>47.78</v>
      </c>
      <c r="J13" s="12">
        <f t="shared" si="7"/>
        <v>45.596</v>
      </c>
      <c r="K13" s="17">
        <f t="shared" si="8"/>
        <v>0.856</v>
      </c>
      <c r="L13" s="10">
        <f t="shared" si="9"/>
        <v>0.181</v>
      </c>
      <c r="M13" s="10">
        <f t="shared" si="10"/>
        <v>0.1150019134</v>
      </c>
      <c r="N13" s="18">
        <f t="shared" si="11"/>
        <v>13.43</v>
      </c>
      <c r="O13" s="9">
        <f t="shared" si="12"/>
        <v>20</v>
      </c>
      <c r="P13" s="9">
        <f t="shared" si="13"/>
        <v>60</v>
      </c>
    </row>
    <row r="14">
      <c r="A14" s="8">
        <v>13.0</v>
      </c>
      <c r="B14" s="15">
        <v>0.004</v>
      </c>
      <c r="C14" s="8">
        <v>0.271</v>
      </c>
      <c r="D14" s="9">
        <f t="shared" si="1"/>
        <v>71.36</v>
      </c>
      <c r="E14" s="16">
        <f t="shared" si="2"/>
        <v>0.68</v>
      </c>
      <c r="F14" s="10">
        <f t="shared" si="3"/>
        <v>2.17881283</v>
      </c>
      <c r="G14" s="11">
        <f t="shared" si="4"/>
        <v>102.22</v>
      </c>
      <c r="H14" s="10">
        <f t="shared" si="5"/>
        <v>72.595</v>
      </c>
      <c r="I14" s="10">
        <f t="shared" si="6"/>
        <v>43.87</v>
      </c>
      <c r="J14" s="12">
        <f t="shared" si="7"/>
        <v>42.917</v>
      </c>
      <c r="K14" s="17">
        <f t="shared" si="8"/>
        <v>0.842</v>
      </c>
      <c r="L14" s="10">
        <f t="shared" si="9"/>
        <v>0.18</v>
      </c>
      <c r="M14" s="10">
        <f t="shared" si="10"/>
        <v>0.1087729114</v>
      </c>
      <c r="N14" s="18">
        <f t="shared" si="11"/>
        <v>12.92</v>
      </c>
      <c r="O14" s="9">
        <f t="shared" si="12"/>
        <v>20</v>
      </c>
      <c r="P14" s="9">
        <f t="shared" si="13"/>
        <v>65</v>
      </c>
    </row>
    <row r="15">
      <c r="A15" s="8">
        <v>14.0</v>
      </c>
      <c r="B15" s="15">
        <v>5.538E-4</v>
      </c>
      <c r="C15" s="8">
        <v>0.085</v>
      </c>
      <c r="D15" s="9">
        <f t="shared" si="1"/>
        <v>26.55</v>
      </c>
      <c r="E15" s="16">
        <f t="shared" si="2"/>
        <v>0.96</v>
      </c>
      <c r="F15" s="10">
        <f t="shared" si="3"/>
        <v>2.160368656</v>
      </c>
      <c r="G15" s="11">
        <f t="shared" si="4"/>
        <v>96.82</v>
      </c>
      <c r="H15" s="10">
        <f t="shared" si="5"/>
        <v>72.62</v>
      </c>
      <c r="I15" s="10">
        <f t="shared" si="6"/>
        <v>41.93</v>
      </c>
      <c r="J15" s="12">
        <f t="shared" si="7"/>
        <v>43.307</v>
      </c>
      <c r="K15" s="17">
        <f t="shared" si="8"/>
        <v>0.851</v>
      </c>
      <c r="L15" s="10">
        <f t="shared" si="9"/>
        <v>0.176</v>
      </c>
      <c r="M15" s="10">
        <f t="shared" si="10"/>
        <v>0.1016193746</v>
      </c>
      <c r="N15" s="18">
        <f t="shared" si="11"/>
        <v>11.94</v>
      </c>
      <c r="O15" s="9">
        <f t="shared" si="12"/>
        <v>20</v>
      </c>
      <c r="P15" s="9">
        <f t="shared" si="13"/>
        <v>70</v>
      </c>
    </row>
    <row r="16">
      <c r="A16" s="8">
        <v>15.0</v>
      </c>
      <c r="B16" s="15">
        <v>0.003</v>
      </c>
      <c r="C16" s="8">
        <v>0.208</v>
      </c>
      <c r="D16" s="9">
        <f t="shared" si="1"/>
        <v>61.8</v>
      </c>
      <c r="E16" s="16">
        <f t="shared" si="2"/>
        <v>0.87</v>
      </c>
      <c r="F16" s="10">
        <f t="shared" si="3"/>
        <v>2.144786688</v>
      </c>
      <c r="G16" s="11">
        <f t="shared" si="4"/>
        <v>94.48</v>
      </c>
      <c r="H16" s="10">
        <f t="shared" si="5"/>
        <v>70.56</v>
      </c>
      <c r="I16" s="10">
        <f t="shared" si="6"/>
        <v>39.07</v>
      </c>
      <c r="J16" s="12">
        <f t="shared" si="7"/>
        <v>41.353</v>
      </c>
      <c r="K16" s="17">
        <f t="shared" si="8"/>
        <v>0.852</v>
      </c>
      <c r="L16" s="10">
        <f t="shared" si="9"/>
        <v>0.169</v>
      </c>
      <c r="M16" s="10">
        <f t="shared" si="10"/>
        <v>0.09358908052</v>
      </c>
      <c r="N16" s="18">
        <f t="shared" si="11"/>
        <v>10.98</v>
      </c>
      <c r="O16" s="9">
        <f t="shared" si="12"/>
        <v>20</v>
      </c>
      <c r="P16" s="9">
        <f t="shared" si="13"/>
        <v>75</v>
      </c>
    </row>
    <row r="17">
      <c r="A17" s="8">
        <v>16.0</v>
      </c>
      <c r="B17" s="15">
        <v>0.028</v>
      </c>
      <c r="C17" s="8">
        <v>0.757</v>
      </c>
      <c r="D17" s="9">
        <f t="shared" si="1"/>
        <v>188.81</v>
      </c>
      <c r="E17" s="16">
        <f t="shared" si="2"/>
        <v>0.61</v>
      </c>
      <c r="F17" s="10">
        <f t="shared" si="3"/>
        <v>2.131449546</v>
      </c>
      <c r="G17" s="11">
        <f t="shared" si="4"/>
        <v>100.38</v>
      </c>
      <c r="H17" s="10">
        <f t="shared" si="5"/>
        <v>72.131</v>
      </c>
      <c r="I17" s="10">
        <f t="shared" si="6"/>
        <v>38.44</v>
      </c>
      <c r="J17" s="12">
        <f t="shared" si="7"/>
        <v>38.294</v>
      </c>
      <c r="K17" s="17">
        <f t="shared" si="8"/>
        <v>0.837</v>
      </c>
      <c r="L17" s="10">
        <f t="shared" si="9"/>
        <v>0.174</v>
      </c>
      <c r="M17" s="10">
        <f t="shared" si="10"/>
        <v>0.09271805523</v>
      </c>
      <c r="N17" s="18">
        <f t="shared" si="11"/>
        <v>11.08</v>
      </c>
      <c r="O17" s="9">
        <f t="shared" si="12"/>
        <v>20</v>
      </c>
      <c r="P17" s="9">
        <f t="shared" si="13"/>
        <v>80</v>
      </c>
    </row>
    <row r="18">
      <c r="A18" s="8">
        <v>17.0</v>
      </c>
      <c r="B18" s="15">
        <v>0.04</v>
      </c>
      <c r="C18" s="8">
        <v>0.747</v>
      </c>
      <c r="D18" s="9">
        <f t="shared" si="1"/>
        <v>225.68</v>
      </c>
      <c r="E18" s="16">
        <f t="shared" si="2"/>
        <v>0.9</v>
      </c>
      <c r="F18" s="10">
        <f t="shared" si="3"/>
        <v>2.119905299</v>
      </c>
      <c r="G18" s="11">
        <f t="shared" si="4"/>
        <v>107.75</v>
      </c>
      <c r="H18" s="10">
        <f t="shared" si="5"/>
        <v>76.166</v>
      </c>
      <c r="I18" s="10">
        <f t="shared" si="6"/>
        <v>39.16</v>
      </c>
      <c r="J18" s="12">
        <f t="shared" si="7"/>
        <v>36.343</v>
      </c>
      <c r="K18" s="17">
        <f t="shared" si="8"/>
        <v>0.841</v>
      </c>
      <c r="L18" s="10">
        <f t="shared" si="9"/>
        <v>0.17</v>
      </c>
      <c r="M18" s="10">
        <f t="shared" si="10"/>
        <v>0.08740593465</v>
      </c>
      <c r="N18" s="18">
        <f t="shared" si="11"/>
        <v>10.39</v>
      </c>
      <c r="O18" s="9">
        <f t="shared" si="12"/>
        <v>20</v>
      </c>
      <c r="P18" s="9">
        <f t="shared" si="13"/>
        <v>85</v>
      </c>
    </row>
    <row r="19">
      <c r="A19" s="8">
        <v>18.0</v>
      </c>
      <c r="B19" s="15">
        <v>0.002</v>
      </c>
      <c r="C19" s="8">
        <v>0.167</v>
      </c>
      <c r="D19" s="9">
        <f t="shared" si="1"/>
        <v>50.46</v>
      </c>
      <c r="E19" s="16">
        <f t="shared" si="2"/>
        <v>0.9</v>
      </c>
      <c r="F19" s="10">
        <f t="shared" si="3"/>
        <v>2.109815578</v>
      </c>
      <c r="G19" s="11">
        <f t="shared" si="4"/>
        <v>104.57</v>
      </c>
      <c r="H19" s="10">
        <f t="shared" si="5"/>
        <v>75.116</v>
      </c>
      <c r="I19" s="10">
        <f t="shared" si="6"/>
        <v>37.35</v>
      </c>
      <c r="J19" s="12">
        <f t="shared" si="7"/>
        <v>35.718</v>
      </c>
      <c r="K19" s="17">
        <f t="shared" si="8"/>
        <v>0.844</v>
      </c>
      <c r="L19" s="10">
        <f t="shared" si="9"/>
        <v>0.165</v>
      </c>
      <c r="M19" s="10">
        <f t="shared" si="10"/>
        <v>0.08205256962</v>
      </c>
      <c r="N19" s="18">
        <f t="shared" si="11"/>
        <v>9.72</v>
      </c>
      <c r="O19" s="9">
        <f t="shared" si="12"/>
        <v>20</v>
      </c>
      <c r="P19" s="9">
        <f t="shared" si="13"/>
        <v>90</v>
      </c>
    </row>
    <row r="20">
      <c r="A20" s="8">
        <v>19.0</v>
      </c>
      <c r="B20" s="15">
        <v>0.009</v>
      </c>
      <c r="C20" s="8">
        <v>0.392</v>
      </c>
      <c r="D20" s="9">
        <f t="shared" si="1"/>
        <v>107.05</v>
      </c>
      <c r="E20" s="16">
        <f t="shared" si="2"/>
        <v>0.74</v>
      </c>
      <c r="F20" s="10">
        <f t="shared" si="3"/>
        <v>2.10092204</v>
      </c>
      <c r="G20" s="11">
        <f t="shared" si="4"/>
        <v>104.7</v>
      </c>
      <c r="H20" s="10">
        <f t="shared" si="5"/>
        <v>73.002</v>
      </c>
      <c r="I20" s="10">
        <f t="shared" si="6"/>
        <v>35.19</v>
      </c>
      <c r="J20" s="12">
        <f t="shared" si="7"/>
        <v>33.61</v>
      </c>
      <c r="K20" s="17">
        <f t="shared" si="8"/>
        <v>0.838</v>
      </c>
      <c r="L20" s="10">
        <f t="shared" si="9"/>
        <v>0.162</v>
      </c>
      <c r="M20" s="10">
        <f t="shared" si="10"/>
        <v>0.07808150061</v>
      </c>
      <c r="N20" s="18">
        <f t="shared" si="11"/>
        <v>9.32</v>
      </c>
      <c r="O20" s="9">
        <f t="shared" si="12"/>
        <v>20</v>
      </c>
      <c r="P20" s="9">
        <f t="shared" si="13"/>
        <v>95</v>
      </c>
    </row>
    <row r="21">
      <c r="A21" s="8">
        <v>20.0</v>
      </c>
      <c r="B21" s="15">
        <v>0.007</v>
      </c>
      <c r="C21" s="8">
        <v>0.362</v>
      </c>
      <c r="D21" s="9">
        <f t="shared" si="1"/>
        <v>94.41</v>
      </c>
      <c r="E21" s="16">
        <f t="shared" si="2"/>
        <v>0.67</v>
      </c>
      <c r="F21" s="10">
        <f t="shared" si="3"/>
        <v>2.093024054</v>
      </c>
      <c r="G21" s="11">
        <f t="shared" si="4"/>
        <v>104.18</v>
      </c>
      <c r="H21" s="10">
        <f t="shared" si="5"/>
        <v>71.092</v>
      </c>
      <c r="I21" s="10">
        <f t="shared" si="6"/>
        <v>33.27</v>
      </c>
      <c r="J21" s="12">
        <f t="shared" si="7"/>
        <v>31.935</v>
      </c>
      <c r="K21" s="17">
        <f t="shared" si="8"/>
        <v>0.83</v>
      </c>
      <c r="L21" s="10">
        <f t="shared" si="9"/>
        <v>0.162</v>
      </c>
      <c r="M21" s="10">
        <f t="shared" si="10"/>
        <v>0.07581833384</v>
      </c>
      <c r="N21" s="18">
        <f t="shared" si="11"/>
        <v>9.13</v>
      </c>
      <c r="O21" s="9">
        <f t="shared" si="12"/>
        <v>20</v>
      </c>
      <c r="P21" s="9">
        <f t="shared" si="13"/>
        <v>100</v>
      </c>
    </row>
    <row r="22">
      <c r="D22" s="9"/>
      <c r="E22" s="9"/>
      <c r="F22" s="10"/>
      <c r="G22" s="11"/>
      <c r="H22" s="10"/>
      <c r="I22" s="10"/>
      <c r="J22" s="12"/>
      <c r="K22" s="13"/>
      <c r="L22" s="10"/>
      <c r="M22" s="10"/>
      <c r="N22" s="14"/>
      <c r="O22" s="9"/>
      <c r="P22" s="9"/>
    </row>
    <row r="23">
      <c r="B23" s="15"/>
      <c r="D23" s="9"/>
      <c r="E23" s="9"/>
      <c r="F23" s="10"/>
      <c r="G23" s="11"/>
      <c r="H23" s="10"/>
      <c r="I23" s="10"/>
      <c r="J23" s="12"/>
      <c r="K23" s="13"/>
      <c r="L23" s="10"/>
      <c r="M23" s="10"/>
      <c r="N23" s="14"/>
      <c r="O23" s="9"/>
      <c r="P23" s="9"/>
    </row>
    <row r="24">
      <c r="B24" s="15"/>
      <c r="D24" s="9"/>
      <c r="E24" s="9"/>
      <c r="F24" s="10"/>
      <c r="G24" s="11"/>
      <c r="H24" s="10"/>
      <c r="I24" s="10"/>
      <c r="J24" s="12"/>
      <c r="K24" s="13"/>
      <c r="L24" s="10"/>
      <c r="M24" s="10"/>
      <c r="N24" s="14"/>
      <c r="O24" s="9"/>
      <c r="P24" s="9"/>
    </row>
    <row r="25">
      <c r="D25" s="9"/>
      <c r="E25" s="9"/>
      <c r="F25" s="10"/>
      <c r="G25" s="11"/>
      <c r="H25" s="10"/>
      <c r="I25" s="10"/>
      <c r="J25" s="12"/>
      <c r="K25" s="13"/>
      <c r="L25" s="10"/>
      <c r="M25" s="10"/>
      <c r="N25" s="14"/>
      <c r="O25" s="9"/>
      <c r="P25" s="9"/>
    </row>
    <row r="26">
      <c r="B26" s="15"/>
      <c r="D26" s="9"/>
      <c r="E26" s="9"/>
      <c r="F26" s="10"/>
      <c r="G26" s="11"/>
      <c r="H26" s="10"/>
      <c r="I26" s="10"/>
      <c r="J26" s="12"/>
      <c r="K26" s="13"/>
      <c r="L26" s="10"/>
      <c r="M26" s="10"/>
      <c r="N26" s="14"/>
      <c r="O26" s="9"/>
      <c r="P26" s="9"/>
    </row>
    <row r="27">
      <c r="B27" s="15"/>
      <c r="D27" s="9"/>
      <c r="E27" s="9"/>
      <c r="F27" s="10"/>
      <c r="G27" s="11"/>
      <c r="H27" s="10"/>
      <c r="I27" s="10"/>
      <c r="J27" s="12"/>
      <c r="K27" s="13"/>
      <c r="L27" s="10"/>
      <c r="M27" s="10"/>
      <c r="N27" s="14"/>
      <c r="O27" s="9"/>
      <c r="P27" s="9"/>
    </row>
    <row r="28">
      <c r="B28" s="15"/>
      <c r="D28" s="9"/>
      <c r="E28" s="9"/>
      <c r="F28" s="10"/>
      <c r="G28" s="11"/>
      <c r="H28" s="10"/>
      <c r="I28" s="10"/>
      <c r="J28" s="12"/>
      <c r="K28" s="13"/>
      <c r="L28" s="10"/>
      <c r="M28" s="10"/>
      <c r="N28" s="14"/>
      <c r="O28" s="9"/>
      <c r="P28" s="9"/>
    </row>
    <row r="29">
      <c r="B29" s="15"/>
      <c r="D29" s="9"/>
      <c r="E29" s="9"/>
      <c r="F29" s="10"/>
      <c r="G29" s="11"/>
      <c r="H29" s="10"/>
      <c r="I29" s="10"/>
      <c r="J29" s="12"/>
      <c r="K29" s="13"/>
      <c r="L29" s="10"/>
      <c r="M29" s="10"/>
      <c r="N29" s="14"/>
      <c r="O29" s="9"/>
      <c r="P29" s="9"/>
    </row>
    <row r="30">
      <c r="B30" s="15"/>
      <c r="D30" s="9"/>
      <c r="E30" s="9"/>
      <c r="F30" s="10"/>
      <c r="G30" s="11"/>
      <c r="H30" s="10"/>
      <c r="I30" s="10"/>
      <c r="J30" s="12"/>
      <c r="K30" s="13"/>
      <c r="L30" s="10"/>
      <c r="M30" s="10"/>
      <c r="N30" s="14"/>
      <c r="O30" s="9"/>
      <c r="P30" s="9"/>
    </row>
    <row r="31">
      <c r="B31" s="15"/>
      <c r="D31" s="9"/>
      <c r="E31" s="9"/>
      <c r="F31" s="10"/>
      <c r="G31" s="11"/>
      <c r="H31" s="10"/>
      <c r="I31" s="10"/>
      <c r="J31" s="12"/>
      <c r="K31" s="13"/>
      <c r="L31" s="10"/>
      <c r="M31" s="10"/>
      <c r="N31" s="14"/>
      <c r="O31" s="9"/>
      <c r="P31" s="9"/>
    </row>
    <row r="32">
      <c r="B32" s="15"/>
      <c r="D32" s="9"/>
      <c r="E32" s="9"/>
      <c r="F32" s="10"/>
      <c r="G32" s="11"/>
      <c r="H32" s="10"/>
      <c r="I32" s="10"/>
      <c r="J32" s="12"/>
      <c r="K32" s="13"/>
      <c r="L32" s="10"/>
      <c r="M32" s="10"/>
      <c r="N32" s="14"/>
      <c r="O32" s="9"/>
      <c r="P32" s="9"/>
    </row>
    <row r="33">
      <c r="B33" s="15"/>
      <c r="D33" s="9"/>
      <c r="E33" s="9"/>
      <c r="F33" s="10"/>
      <c r="G33" s="11"/>
      <c r="H33" s="10"/>
      <c r="I33" s="10"/>
      <c r="J33" s="12"/>
      <c r="K33" s="13"/>
      <c r="L33" s="10"/>
      <c r="M33" s="10"/>
      <c r="N33" s="14"/>
      <c r="O33" s="9"/>
      <c r="P33" s="9"/>
    </row>
    <row r="34">
      <c r="B34" s="15"/>
      <c r="D34" s="9"/>
      <c r="E34" s="9"/>
      <c r="F34" s="10"/>
      <c r="G34" s="11"/>
      <c r="H34" s="10"/>
      <c r="I34" s="10"/>
      <c r="J34" s="12"/>
      <c r="K34" s="13"/>
      <c r="L34" s="10"/>
      <c r="M34" s="10"/>
      <c r="N34" s="14"/>
      <c r="O34" s="9"/>
      <c r="P34" s="9"/>
    </row>
    <row r="35">
      <c r="D35" s="9"/>
      <c r="E35" s="9"/>
      <c r="F35" s="10"/>
      <c r="G35" s="11"/>
      <c r="H35" s="10"/>
      <c r="I35" s="10"/>
      <c r="J35" s="12"/>
      <c r="K35" s="13"/>
      <c r="L35" s="10"/>
      <c r="M35" s="10"/>
      <c r="N35" s="14"/>
      <c r="O35" s="9"/>
      <c r="P35" s="9"/>
    </row>
    <row r="36">
      <c r="B36" s="15"/>
      <c r="D36" s="9"/>
      <c r="E36" s="9"/>
      <c r="F36" s="10"/>
      <c r="G36" s="11"/>
      <c r="H36" s="10"/>
      <c r="I36" s="10"/>
      <c r="J36" s="12"/>
      <c r="K36" s="13"/>
      <c r="L36" s="10"/>
      <c r="M36" s="10"/>
      <c r="N36" s="14"/>
      <c r="O36" s="9"/>
      <c r="P36" s="9"/>
    </row>
    <row r="37">
      <c r="B37" s="15"/>
      <c r="D37" s="9"/>
      <c r="E37" s="9"/>
      <c r="F37" s="10"/>
      <c r="G37" s="11"/>
      <c r="H37" s="10"/>
      <c r="I37" s="10"/>
      <c r="J37" s="12"/>
      <c r="K37" s="13"/>
      <c r="L37" s="10"/>
      <c r="M37" s="10"/>
      <c r="N37" s="14"/>
      <c r="O37" s="9"/>
      <c r="P37" s="9"/>
    </row>
    <row r="38">
      <c r="B38" s="15"/>
      <c r="D38" s="9"/>
      <c r="E38" s="9"/>
      <c r="F38" s="10"/>
      <c r="G38" s="11"/>
      <c r="H38" s="10"/>
      <c r="I38" s="10"/>
      <c r="J38" s="12"/>
      <c r="K38" s="13"/>
      <c r="L38" s="10"/>
      <c r="M38" s="10"/>
      <c r="N38" s="14"/>
      <c r="O38" s="9"/>
      <c r="P38" s="9"/>
    </row>
    <row r="39">
      <c r="B39" s="15"/>
      <c r="D39" s="9"/>
      <c r="E39" s="9"/>
      <c r="F39" s="10"/>
      <c r="G39" s="11"/>
      <c r="H39" s="10"/>
      <c r="I39" s="10"/>
      <c r="J39" s="12"/>
      <c r="K39" s="13"/>
      <c r="L39" s="10"/>
      <c r="M39" s="10"/>
      <c r="N39" s="14"/>
      <c r="O39" s="9"/>
      <c r="P39" s="9"/>
    </row>
    <row r="40">
      <c r="D40" s="9"/>
      <c r="E40" s="9"/>
      <c r="F40" s="10"/>
      <c r="G40" s="11"/>
      <c r="H40" s="10"/>
      <c r="I40" s="10"/>
      <c r="J40" s="12"/>
      <c r="K40" s="13"/>
      <c r="L40" s="10"/>
      <c r="M40" s="10"/>
      <c r="N40" s="14"/>
      <c r="O40" s="9"/>
      <c r="P40" s="9"/>
    </row>
    <row r="41">
      <c r="B41" s="15"/>
      <c r="D41" s="9"/>
      <c r="E41" s="9"/>
      <c r="F41" s="10"/>
      <c r="G41" s="11"/>
      <c r="H41" s="10"/>
      <c r="I41" s="10"/>
      <c r="J41" s="12"/>
      <c r="K41" s="13"/>
      <c r="L41" s="10"/>
      <c r="M41" s="10"/>
      <c r="N41" s="14"/>
      <c r="O41" s="9"/>
      <c r="P41" s="9"/>
    </row>
    <row r="42">
      <c r="B42" s="15"/>
      <c r="D42" s="9"/>
      <c r="E42" s="9"/>
      <c r="F42" s="10"/>
      <c r="G42" s="11"/>
      <c r="H42" s="10"/>
      <c r="I42" s="10"/>
      <c r="J42" s="12"/>
      <c r="K42" s="13"/>
      <c r="L42" s="10"/>
      <c r="M42" s="10"/>
      <c r="N42" s="14"/>
      <c r="O42" s="9"/>
      <c r="P42" s="9"/>
    </row>
    <row r="43">
      <c r="D43" s="9"/>
      <c r="E43" s="9"/>
      <c r="F43" s="10"/>
      <c r="G43" s="11"/>
      <c r="H43" s="10"/>
      <c r="I43" s="10"/>
      <c r="J43" s="12"/>
      <c r="K43" s="13"/>
      <c r="L43" s="10"/>
      <c r="M43" s="10"/>
      <c r="N43" s="14"/>
      <c r="O43" s="9"/>
      <c r="P43" s="9"/>
    </row>
    <row r="44">
      <c r="B44" s="15"/>
      <c r="D44" s="9"/>
      <c r="E44" s="9"/>
      <c r="F44" s="10"/>
      <c r="G44" s="11"/>
      <c r="H44" s="10"/>
      <c r="I44" s="10"/>
      <c r="J44" s="12"/>
      <c r="K44" s="13"/>
      <c r="L44" s="10"/>
      <c r="M44" s="10"/>
      <c r="N44" s="14"/>
      <c r="O44" s="9"/>
      <c r="P44" s="9"/>
    </row>
    <row r="45">
      <c r="D45" s="9"/>
      <c r="E45" s="9"/>
      <c r="F45" s="10"/>
      <c r="G45" s="11"/>
      <c r="H45" s="10"/>
      <c r="I45" s="10"/>
      <c r="J45" s="12"/>
      <c r="K45" s="13"/>
      <c r="L45" s="10"/>
      <c r="M45" s="10"/>
      <c r="N45" s="14"/>
      <c r="O45" s="9"/>
      <c r="P45" s="9"/>
    </row>
    <row r="46">
      <c r="D46" s="9"/>
      <c r="E46" s="9"/>
      <c r="F46" s="10"/>
      <c r="G46" s="11"/>
      <c r="H46" s="10"/>
      <c r="I46" s="10"/>
      <c r="J46" s="12"/>
      <c r="K46" s="13"/>
      <c r="L46" s="10"/>
      <c r="M46" s="10"/>
      <c r="N46" s="14"/>
      <c r="O46" s="9"/>
      <c r="P46" s="9"/>
    </row>
    <row r="47">
      <c r="B47" s="15"/>
      <c r="D47" s="9"/>
      <c r="E47" s="9"/>
      <c r="F47" s="10"/>
      <c r="G47" s="11"/>
      <c r="H47" s="10"/>
      <c r="I47" s="10"/>
      <c r="J47" s="12"/>
      <c r="K47" s="13"/>
      <c r="L47" s="10"/>
      <c r="M47" s="10"/>
      <c r="N47" s="14"/>
      <c r="O47" s="9"/>
      <c r="P47" s="9"/>
    </row>
    <row r="48">
      <c r="B48" s="15"/>
      <c r="D48" s="9"/>
      <c r="E48" s="9"/>
      <c r="F48" s="10"/>
      <c r="G48" s="11"/>
      <c r="H48" s="10"/>
      <c r="I48" s="10"/>
      <c r="J48" s="12"/>
      <c r="K48" s="13"/>
      <c r="L48" s="10"/>
      <c r="M48" s="10"/>
      <c r="N48" s="14"/>
      <c r="O48" s="9"/>
      <c r="P48" s="9"/>
    </row>
    <row r="49">
      <c r="D49" s="9"/>
      <c r="E49" s="9"/>
      <c r="F49" s="10"/>
      <c r="G49" s="11"/>
      <c r="H49" s="10"/>
      <c r="I49" s="10"/>
      <c r="J49" s="12"/>
      <c r="K49" s="13"/>
      <c r="L49" s="10"/>
      <c r="M49" s="10"/>
      <c r="N49" s="14"/>
      <c r="O49" s="9"/>
      <c r="P49" s="9"/>
    </row>
    <row r="50">
      <c r="D50" s="9"/>
      <c r="E50" s="9"/>
      <c r="F50" s="10"/>
      <c r="G50" s="11"/>
      <c r="H50" s="10"/>
      <c r="I50" s="10"/>
      <c r="J50" s="12"/>
      <c r="K50" s="13"/>
      <c r="L50" s="10"/>
      <c r="M50" s="10"/>
      <c r="N50" s="14"/>
      <c r="O50" s="9"/>
      <c r="P50" s="9"/>
    </row>
    <row r="51">
      <c r="D51" s="9"/>
      <c r="E51" s="9"/>
      <c r="F51" s="10"/>
      <c r="G51" s="11"/>
      <c r="H51" s="10"/>
      <c r="I51" s="10"/>
      <c r="J51" s="12"/>
      <c r="K51" s="13"/>
      <c r="L51" s="10"/>
      <c r="M51" s="10"/>
      <c r="N51" s="14"/>
      <c r="O51" s="9"/>
      <c r="P51" s="9"/>
    </row>
    <row r="52">
      <c r="B52" s="15"/>
      <c r="D52" s="9"/>
      <c r="E52" s="9"/>
      <c r="F52" s="10"/>
      <c r="G52" s="11"/>
      <c r="H52" s="10"/>
      <c r="I52" s="10"/>
      <c r="J52" s="12"/>
      <c r="K52" s="13"/>
      <c r="L52" s="10"/>
      <c r="M52" s="10"/>
      <c r="N52" s="14"/>
      <c r="O52" s="9"/>
      <c r="P52" s="9"/>
    </row>
    <row r="53">
      <c r="D53" s="9"/>
      <c r="E53" s="9"/>
      <c r="F53" s="10"/>
      <c r="G53" s="11"/>
      <c r="H53" s="10"/>
      <c r="I53" s="10"/>
      <c r="J53" s="12"/>
      <c r="K53" s="13"/>
      <c r="L53" s="10"/>
      <c r="M53" s="10"/>
      <c r="N53" s="14"/>
      <c r="O53" s="9"/>
      <c r="P53" s="9"/>
    </row>
    <row r="54">
      <c r="B54" s="15"/>
      <c r="D54" s="9"/>
      <c r="E54" s="9"/>
      <c r="F54" s="10"/>
      <c r="G54" s="11"/>
      <c r="H54" s="10"/>
      <c r="I54" s="10"/>
      <c r="J54" s="12"/>
      <c r="K54" s="13"/>
      <c r="L54" s="10"/>
      <c r="M54" s="10"/>
      <c r="N54" s="14"/>
      <c r="O54" s="9"/>
      <c r="P54" s="9"/>
    </row>
    <row r="55">
      <c r="D55" s="9"/>
      <c r="E55" s="9"/>
      <c r="F55" s="10"/>
      <c r="G55" s="11"/>
      <c r="H55" s="10"/>
      <c r="I55" s="10"/>
      <c r="J55" s="12"/>
      <c r="K55" s="13"/>
      <c r="L55" s="10"/>
      <c r="M55" s="10"/>
      <c r="N55" s="14"/>
      <c r="O55" s="9"/>
      <c r="P55" s="9"/>
    </row>
    <row r="56">
      <c r="B56" s="15"/>
      <c r="D56" s="9"/>
      <c r="E56" s="9"/>
      <c r="F56" s="10"/>
      <c r="G56" s="11"/>
      <c r="H56" s="10"/>
      <c r="I56" s="10"/>
      <c r="J56" s="12"/>
      <c r="K56" s="13"/>
      <c r="L56" s="10"/>
      <c r="M56" s="10"/>
      <c r="N56" s="14"/>
      <c r="O56" s="9"/>
      <c r="P56" s="9"/>
    </row>
    <row r="57">
      <c r="B57" s="15"/>
      <c r="D57" s="9"/>
      <c r="E57" s="9"/>
      <c r="F57" s="10"/>
      <c r="G57" s="11"/>
      <c r="H57" s="10"/>
      <c r="I57" s="10"/>
      <c r="J57" s="12"/>
      <c r="K57" s="13"/>
      <c r="L57" s="10"/>
      <c r="M57" s="10"/>
      <c r="N57" s="14"/>
      <c r="O57" s="9"/>
      <c r="P57" s="9"/>
    </row>
    <row r="58">
      <c r="D58" s="9"/>
      <c r="E58" s="9"/>
      <c r="F58" s="10"/>
      <c r="G58" s="11"/>
      <c r="H58" s="10"/>
      <c r="I58" s="10"/>
      <c r="J58" s="12"/>
      <c r="K58" s="13"/>
      <c r="L58" s="10"/>
      <c r="M58" s="10"/>
      <c r="N58" s="14"/>
      <c r="O58" s="9"/>
      <c r="P58" s="9"/>
    </row>
    <row r="59">
      <c r="B59" s="15"/>
      <c r="D59" s="9"/>
      <c r="E59" s="9"/>
      <c r="F59" s="10"/>
      <c r="G59" s="11"/>
      <c r="H59" s="10"/>
      <c r="I59" s="10"/>
      <c r="J59" s="12"/>
      <c r="K59" s="13"/>
      <c r="L59" s="10"/>
      <c r="M59" s="10"/>
      <c r="N59" s="14"/>
      <c r="O59" s="9"/>
      <c r="P59" s="9"/>
    </row>
    <row r="60">
      <c r="D60" s="9"/>
      <c r="E60" s="9"/>
      <c r="F60" s="10"/>
      <c r="G60" s="11"/>
      <c r="H60" s="10"/>
      <c r="I60" s="10"/>
      <c r="J60" s="12"/>
      <c r="K60" s="13"/>
      <c r="L60" s="10"/>
      <c r="M60" s="10"/>
      <c r="N60" s="14"/>
      <c r="O60" s="9"/>
      <c r="P60" s="9"/>
    </row>
    <row r="61">
      <c r="B61" s="15"/>
      <c r="D61" s="9"/>
      <c r="E61" s="9"/>
      <c r="F61" s="10"/>
      <c r="G61" s="11"/>
      <c r="H61" s="10"/>
      <c r="I61" s="10"/>
      <c r="J61" s="12"/>
      <c r="K61" s="13"/>
      <c r="L61" s="10"/>
      <c r="M61" s="10"/>
      <c r="N61" s="14"/>
      <c r="O61" s="9"/>
      <c r="P61" s="9"/>
    </row>
    <row r="62">
      <c r="B62" s="15"/>
      <c r="D62" s="9"/>
      <c r="E62" s="9"/>
      <c r="F62" s="10"/>
      <c r="G62" s="11"/>
      <c r="H62" s="10"/>
      <c r="I62" s="10"/>
      <c r="J62" s="12"/>
      <c r="K62" s="13"/>
      <c r="L62" s="10"/>
      <c r="M62" s="10"/>
      <c r="N62" s="14"/>
      <c r="O62" s="9"/>
      <c r="P62" s="9"/>
    </row>
    <row r="63">
      <c r="B63" s="15"/>
      <c r="D63" s="9"/>
      <c r="E63" s="9"/>
      <c r="F63" s="10"/>
      <c r="G63" s="11"/>
      <c r="H63" s="10"/>
      <c r="I63" s="10"/>
      <c r="J63" s="12"/>
      <c r="K63" s="13"/>
      <c r="L63" s="10"/>
      <c r="M63" s="10"/>
      <c r="N63" s="14"/>
      <c r="O63" s="9"/>
      <c r="P63" s="9"/>
    </row>
    <row r="64">
      <c r="B64" s="15"/>
      <c r="D64" s="9"/>
      <c r="E64" s="9"/>
      <c r="F64" s="10"/>
      <c r="G64" s="11"/>
      <c r="H64" s="10"/>
      <c r="I64" s="10"/>
      <c r="J64" s="12"/>
      <c r="K64" s="13"/>
      <c r="L64" s="10"/>
      <c r="M64" s="10"/>
      <c r="N64" s="14"/>
      <c r="O64" s="9"/>
      <c r="P64" s="9"/>
    </row>
    <row r="65">
      <c r="B65" s="15"/>
      <c r="D65" s="9"/>
      <c r="E65" s="9"/>
      <c r="F65" s="10"/>
      <c r="G65" s="11"/>
      <c r="H65" s="10"/>
      <c r="I65" s="10"/>
      <c r="J65" s="12"/>
      <c r="K65" s="13"/>
      <c r="L65" s="10"/>
      <c r="M65" s="10"/>
      <c r="N65" s="14"/>
      <c r="O65" s="9"/>
      <c r="P65" s="9"/>
    </row>
    <row r="66">
      <c r="B66" s="15"/>
      <c r="D66" s="9"/>
      <c r="E66" s="9"/>
      <c r="F66" s="10"/>
      <c r="G66" s="11"/>
      <c r="H66" s="10"/>
      <c r="I66" s="10"/>
      <c r="J66" s="12"/>
      <c r="K66" s="13"/>
      <c r="L66" s="10"/>
      <c r="M66" s="10"/>
      <c r="N66" s="14"/>
      <c r="O66" s="9"/>
      <c r="P66" s="9"/>
    </row>
    <row r="67">
      <c r="B67" s="15"/>
      <c r="D67" s="9"/>
      <c r="E67" s="9"/>
      <c r="F67" s="10"/>
      <c r="G67" s="11"/>
      <c r="H67" s="10"/>
      <c r="I67" s="10"/>
      <c r="J67" s="12"/>
      <c r="K67" s="13"/>
      <c r="L67" s="10"/>
      <c r="M67" s="10"/>
      <c r="N67" s="14"/>
      <c r="O67" s="9"/>
      <c r="P67" s="9"/>
    </row>
    <row r="68">
      <c r="D68" s="9"/>
      <c r="E68" s="9"/>
      <c r="F68" s="10"/>
      <c r="G68" s="11"/>
      <c r="H68" s="10"/>
      <c r="I68" s="10"/>
      <c r="J68" s="12"/>
      <c r="K68" s="13"/>
      <c r="L68" s="10"/>
      <c r="M68" s="10"/>
      <c r="N68" s="14"/>
      <c r="O68" s="9"/>
      <c r="P68" s="9"/>
    </row>
    <row r="69">
      <c r="B69" s="15"/>
      <c r="D69" s="9"/>
      <c r="E69" s="9"/>
      <c r="F69" s="10"/>
      <c r="G69" s="11"/>
      <c r="H69" s="10"/>
      <c r="I69" s="10"/>
      <c r="J69" s="12"/>
      <c r="K69" s="13"/>
      <c r="L69" s="10"/>
      <c r="M69" s="10"/>
      <c r="N69" s="14"/>
      <c r="O69" s="9"/>
      <c r="P69" s="9"/>
    </row>
    <row r="70">
      <c r="B70" s="15"/>
      <c r="D70" s="9"/>
      <c r="E70" s="9"/>
      <c r="F70" s="10"/>
      <c r="G70" s="11"/>
      <c r="H70" s="10"/>
      <c r="I70" s="10"/>
      <c r="J70" s="12"/>
      <c r="K70" s="13"/>
      <c r="L70" s="10"/>
      <c r="M70" s="10"/>
      <c r="N70" s="14"/>
      <c r="O70" s="9"/>
      <c r="P70" s="9"/>
    </row>
    <row r="71">
      <c r="B71" s="15"/>
      <c r="D71" s="9"/>
      <c r="E71" s="9"/>
      <c r="F71" s="10"/>
      <c r="G71" s="11"/>
      <c r="H71" s="10"/>
      <c r="I71" s="10"/>
      <c r="J71" s="12"/>
      <c r="K71" s="13"/>
      <c r="L71" s="10"/>
      <c r="M71" s="10"/>
      <c r="N71" s="14"/>
      <c r="O71" s="9"/>
      <c r="P71" s="9"/>
    </row>
    <row r="72">
      <c r="B72" s="15"/>
      <c r="D72" s="9"/>
      <c r="E72" s="9"/>
      <c r="F72" s="10"/>
      <c r="G72" s="11"/>
      <c r="H72" s="10"/>
      <c r="I72" s="10"/>
      <c r="J72" s="12"/>
      <c r="K72" s="13"/>
      <c r="L72" s="10"/>
      <c r="M72" s="10"/>
      <c r="N72" s="14"/>
      <c r="O72" s="9"/>
      <c r="P72" s="9"/>
    </row>
    <row r="73">
      <c r="B73" s="15"/>
      <c r="D73" s="9"/>
      <c r="E73" s="9"/>
      <c r="F73" s="10"/>
      <c r="G73" s="11"/>
      <c r="H73" s="10"/>
      <c r="I73" s="10"/>
      <c r="J73" s="12"/>
      <c r="K73" s="13"/>
      <c r="L73" s="10"/>
      <c r="M73" s="10"/>
      <c r="N73" s="14"/>
      <c r="O73" s="9"/>
      <c r="P73" s="9"/>
    </row>
    <row r="74">
      <c r="B74" s="15"/>
      <c r="D74" s="9"/>
      <c r="E74" s="9"/>
      <c r="F74" s="10"/>
      <c r="G74" s="11"/>
      <c r="H74" s="10"/>
      <c r="I74" s="10"/>
      <c r="J74" s="12"/>
      <c r="K74" s="13"/>
      <c r="L74" s="10"/>
      <c r="M74" s="10"/>
      <c r="N74" s="14"/>
      <c r="O74" s="9"/>
      <c r="P74" s="9"/>
    </row>
    <row r="75">
      <c r="B75" s="15"/>
      <c r="D75" s="9"/>
      <c r="E75" s="9"/>
      <c r="F75" s="10"/>
      <c r="G75" s="11"/>
      <c r="H75" s="10"/>
      <c r="I75" s="10"/>
      <c r="J75" s="12"/>
      <c r="K75" s="13"/>
      <c r="L75" s="10"/>
      <c r="M75" s="10"/>
      <c r="N75" s="14"/>
      <c r="O75" s="9"/>
      <c r="P75" s="9"/>
    </row>
    <row r="76">
      <c r="D76" s="9"/>
      <c r="E76" s="9"/>
      <c r="F76" s="10"/>
      <c r="G76" s="11"/>
      <c r="H76" s="10"/>
      <c r="I76" s="10"/>
      <c r="J76" s="12"/>
      <c r="K76" s="13"/>
      <c r="L76" s="10"/>
      <c r="M76" s="10"/>
      <c r="N76" s="14"/>
      <c r="O76" s="9"/>
      <c r="P76" s="9"/>
    </row>
    <row r="77">
      <c r="B77" s="15"/>
      <c r="D77" s="9"/>
      <c r="E77" s="9"/>
      <c r="F77" s="10"/>
      <c r="G77" s="11"/>
      <c r="H77" s="10"/>
      <c r="I77" s="10"/>
      <c r="J77" s="12"/>
      <c r="K77" s="13"/>
      <c r="L77" s="10"/>
      <c r="M77" s="10"/>
      <c r="N77" s="14"/>
      <c r="O77" s="9"/>
      <c r="P77" s="9"/>
    </row>
    <row r="78">
      <c r="B78" s="15"/>
      <c r="D78" s="9"/>
      <c r="E78" s="9"/>
      <c r="F78" s="10"/>
      <c r="G78" s="11"/>
      <c r="H78" s="10"/>
      <c r="I78" s="10"/>
      <c r="J78" s="12"/>
      <c r="K78" s="13"/>
      <c r="L78" s="10"/>
      <c r="M78" s="10"/>
      <c r="N78" s="14"/>
      <c r="O78" s="9"/>
      <c r="P78" s="9"/>
    </row>
    <row r="79">
      <c r="D79" s="9"/>
      <c r="E79" s="9"/>
      <c r="F79" s="10"/>
      <c r="G79" s="11"/>
      <c r="H79" s="10"/>
      <c r="I79" s="10"/>
      <c r="J79" s="12"/>
      <c r="K79" s="13"/>
      <c r="L79" s="10"/>
      <c r="M79" s="10"/>
      <c r="N79" s="14"/>
      <c r="O79" s="9"/>
      <c r="P79" s="9"/>
    </row>
    <row r="80">
      <c r="B80" s="15"/>
      <c r="D80" s="9"/>
      <c r="E80" s="9"/>
      <c r="F80" s="10"/>
      <c r="G80" s="11"/>
      <c r="H80" s="10"/>
      <c r="I80" s="10"/>
      <c r="J80" s="12"/>
      <c r="K80" s="13"/>
      <c r="L80" s="10"/>
      <c r="M80" s="10"/>
      <c r="N80" s="14"/>
      <c r="O80" s="9"/>
      <c r="P80" s="9"/>
    </row>
    <row r="81">
      <c r="D81" s="9"/>
      <c r="E81" s="9"/>
      <c r="F81" s="10"/>
      <c r="G81" s="11"/>
      <c r="H81" s="10"/>
      <c r="I81" s="10"/>
      <c r="J81" s="12"/>
      <c r="K81" s="13"/>
      <c r="L81" s="10"/>
      <c r="M81" s="10"/>
      <c r="N81" s="14"/>
      <c r="O81" s="9"/>
      <c r="P81" s="9"/>
    </row>
    <row r="82">
      <c r="D82" s="9"/>
      <c r="E82" s="9"/>
      <c r="F82" s="10"/>
      <c r="G82" s="11"/>
      <c r="H82" s="10"/>
      <c r="I82" s="10"/>
      <c r="J82" s="12"/>
      <c r="K82" s="13"/>
      <c r="L82" s="10"/>
      <c r="M82" s="10"/>
      <c r="N82" s="14"/>
      <c r="O82" s="9"/>
      <c r="P82" s="9"/>
    </row>
    <row r="83">
      <c r="B83" s="15"/>
      <c r="D83" s="9"/>
      <c r="E83" s="9"/>
      <c r="F83" s="10"/>
      <c r="G83" s="11"/>
      <c r="H83" s="10"/>
      <c r="I83" s="10"/>
      <c r="J83" s="12"/>
      <c r="K83" s="13"/>
      <c r="L83" s="10"/>
      <c r="M83" s="10"/>
      <c r="N83" s="14"/>
      <c r="O83" s="9"/>
      <c r="P83" s="9"/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0.007</v>
      </c>
      <c r="C2" s="8">
        <v>0.297</v>
      </c>
      <c r="D2" s="9">
        <f t="shared" ref="D2:D56" si="1">ROUND(2*SQRT(B2/PI())*1000,2)</f>
        <v>94.41</v>
      </c>
      <c r="E2" s="16">
        <f t="shared" ref="E2:E56" si="2">ROUND(4*PI()*B2/C2/C2,2)</f>
        <v>1</v>
      </c>
      <c r="F2" s="10" t="str">
        <f t="shared" ref="F2:F56" si="3">_xlfn.T.INV(1-0.5*0.05,A2-1)</f>
        <v>#NUM!</v>
      </c>
      <c r="G2" s="11">
        <f t="shared" ref="G2:G56" si="4">ROUND(AVERAGE(D$2:D2),2)</f>
        <v>94.41</v>
      </c>
      <c r="H2" s="10" t="str">
        <f t="shared" ref="H2:H56" si="5">ROUND(_xlfn.STDEV.S(D$2:D2),3)</f>
        <v>#DIV/0!</v>
      </c>
      <c r="I2" s="10" t="str">
        <f t="shared" ref="I2:I56" si="6">ROUND(H2*F2/SQRT(A2),2)</f>
        <v>#DIV/0!</v>
      </c>
      <c r="J2" s="12" t="str">
        <f t="shared" ref="J2:J56" si="7">ROUND(100*I2/G2,3)</f>
        <v>#DIV/0!</v>
      </c>
      <c r="K2" s="17">
        <f t="shared" ref="K2:K56" si="8">ROUND(AVERAGE(E$2:E2),3)</f>
        <v>1</v>
      </c>
      <c r="L2" s="10" t="str">
        <f t="shared" ref="L2:L56" si="9">ROUND(_xlfn.STDEV.S(E$2:E2),3)</f>
        <v>#DIV/0!</v>
      </c>
      <c r="M2" s="10" t="str">
        <f t="shared" ref="M2:M56" si="10">L2*F2/SQRT(A2)</f>
        <v>#DIV/0!</v>
      </c>
      <c r="N2" s="14" t="str">
        <f t="shared" ref="N2:N56" si="11">ROUND(M2*100/K2,2)</f>
        <v>#DIV/0!</v>
      </c>
      <c r="O2" s="9">
        <f t="shared" ref="O2:O56" si="12">COUNT(A:A)</f>
        <v>55</v>
      </c>
      <c r="P2" s="9">
        <f t="shared" ref="P2:P56" si="13">ROUND(A2*100/O2,2)</f>
        <v>1.82</v>
      </c>
    </row>
    <row r="3">
      <c r="A3" s="8">
        <v>2.0</v>
      </c>
      <c r="B3" s="15">
        <v>0.006</v>
      </c>
      <c r="C3" s="8">
        <v>0.287</v>
      </c>
      <c r="D3" s="9">
        <f t="shared" si="1"/>
        <v>87.4</v>
      </c>
      <c r="E3" s="16">
        <f t="shared" si="2"/>
        <v>0.92</v>
      </c>
      <c r="F3" s="10">
        <f t="shared" si="3"/>
        <v>12.70620474</v>
      </c>
      <c r="G3" s="11">
        <f t="shared" si="4"/>
        <v>90.91</v>
      </c>
      <c r="H3" s="10">
        <f t="shared" si="5"/>
        <v>4.957</v>
      </c>
      <c r="I3" s="10">
        <f t="shared" si="6"/>
        <v>44.54</v>
      </c>
      <c r="J3" s="12">
        <f t="shared" si="7"/>
        <v>48.994</v>
      </c>
      <c r="K3" s="17">
        <f t="shared" si="8"/>
        <v>0.96</v>
      </c>
      <c r="L3" s="10">
        <f t="shared" si="9"/>
        <v>0.057</v>
      </c>
      <c r="M3" s="10">
        <f t="shared" si="10"/>
        <v>0.5121246813</v>
      </c>
      <c r="N3" s="18">
        <f t="shared" si="11"/>
        <v>53.35</v>
      </c>
      <c r="O3" s="9">
        <f t="shared" si="12"/>
        <v>55</v>
      </c>
      <c r="P3" s="9">
        <f t="shared" si="13"/>
        <v>3.64</v>
      </c>
    </row>
    <row r="4">
      <c r="A4" s="8">
        <v>3.0</v>
      </c>
      <c r="B4" s="15">
        <v>7.957E-4</v>
      </c>
      <c r="C4" s="8">
        <v>0.103</v>
      </c>
      <c r="D4" s="9">
        <f t="shared" si="1"/>
        <v>31.83</v>
      </c>
      <c r="E4" s="16">
        <f t="shared" si="2"/>
        <v>0.94</v>
      </c>
      <c r="F4" s="10">
        <f t="shared" si="3"/>
        <v>4.30265273</v>
      </c>
      <c r="G4" s="11">
        <f t="shared" si="4"/>
        <v>71.21</v>
      </c>
      <c r="H4" s="10">
        <f t="shared" si="5"/>
        <v>34.287</v>
      </c>
      <c r="I4" s="10">
        <f t="shared" si="6"/>
        <v>85.17</v>
      </c>
      <c r="J4" s="12">
        <f t="shared" si="7"/>
        <v>119.604</v>
      </c>
      <c r="K4" s="17">
        <f t="shared" si="8"/>
        <v>0.953</v>
      </c>
      <c r="L4" s="10">
        <f t="shared" si="9"/>
        <v>0.042</v>
      </c>
      <c r="M4" s="10">
        <f t="shared" si="10"/>
        <v>0.1043337839</v>
      </c>
      <c r="N4" s="18">
        <f t="shared" si="11"/>
        <v>10.95</v>
      </c>
      <c r="O4" s="9">
        <f t="shared" si="12"/>
        <v>55</v>
      </c>
      <c r="P4" s="9">
        <f t="shared" si="13"/>
        <v>5.45</v>
      </c>
    </row>
    <row r="5">
      <c r="A5" s="8">
        <v>4.0</v>
      </c>
      <c r="B5" s="15">
        <v>0.01</v>
      </c>
      <c r="C5" s="8">
        <v>0.366</v>
      </c>
      <c r="D5" s="9">
        <f t="shared" si="1"/>
        <v>112.84</v>
      </c>
      <c r="E5" s="16">
        <f t="shared" si="2"/>
        <v>0.94</v>
      </c>
      <c r="F5" s="10">
        <f t="shared" si="3"/>
        <v>3.182446305</v>
      </c>
      <c r="G5" s="11">
        <f t="shared" si="4"/>
        <v>81.62</v>
      </c>
      <c r="H5" s="10">
        <f t="shared" si="5"/>
        <v>34.884</v>
      </c>
      <c r="I5" s="10">
        <f t="shared" si="6"/>
        <v>55.51</v>
      </c>
      <c r="J5" s="12">
        <f t="shared" si="7"/>
        <v>68.01</v>
      </c>
      <c r="K5" s="17">
        <f t="shared" si="8"/>
        <v>0.95</v>
      </c>
      <c r="L5" s="10">
        <f t="shared" si="9"/>
        <v>0.035</v>
      </c>
      <c r="M5" s="10">
        <f t="shared" si="10"/>
        <v>0.05569281034</v>
      </c>
      <c r="N5" s="18">
        <f t="shared" si="11"/>
        <v>5.86</v>
      </c>
      <c r="O5" s="9">
        <f t="shared" si="12"/>
        <v>55</v>
      </c>
      <c r="P5" s="9">
        <f t="shared" si="13"/>
        <v>7.27</v>
      </c>
    </row>
    <row r="6">
      <c r="A6" s="8">
        <v>5.0</v>
      </c>
      <c r="B6" s="15">
        <v>0.01</v>
      </c>
      <c r="C6" s="8">
        <v>0.372</v>
      </c>
      <c r="D6" s="9">
        <f t="shared" si="1"/>
        <v>112.84</v>
      </c>
      <c r="E6" s="16">
        <f t="shared" si="2"/>
        <v>0.91</v>
      </c>
      <c r="F6" s="10">
        <f t="shared" si="3"/>
        <v>2.776445105</v>
      </c>
      <c r="G6" s="11">
        <f t="shared" si="4"/>
        <v>87.86</v>
      </c>
      <c r="H6" s="10">
        <f t="shared" si="5"/>
        <v>33.281</v>
      </c>
      <c r="I6" s="10">
        <f t="shared" si="6"/>
        <v>41.32</v>
      </c>
      <c r="J6" s="12">
        <f t="shared" si="7"/>
        <v>47.029</v>
      </c>
      <c r="K6" s="17">
        <f t="shared" si="8"/>
        <v>0.942</v>
      </c>
      <c r="L6" s="10">
        <f t="shared" si="9"/>
        <v>0.035</v>
      </c>
      <c r="M6" s="10">
        <f t="shared" si="10"/>
        <v>0.04345823994</v>
      </c>
      <c r="N6" s="18">
        <f t="shared" si="11"/>
        <v>4.61</v>
      </c>
      <c r="O6" s="9">
        <f t="shared" si="12"/>
        <v>55</v>
      </c>
      <c r="P6" s="9">
        <f t="shared" si="13"/>
        <v>9.09</v>
      </c>
    </row>
    <row r="7">
      <c r="A7" s="8">
        <v>6.0</v>
      </c>
      <c r="B7" s="15">
        <v>0.002</v>
      </c>
      <c r="C7" s="8">
        <v>0.159</v>
      </c>
      <c r="D7" s="9">
        <f t="shared" si="1"/>
        <v>50.46</v>
      </c>
      <c r="E7" s="16">
        <f t="shared" si="2"/>
        <v>0.99</v>
      </c>
      <c r="F7" s="10">
        <f t="shared" si="3"/>
        <v>2.570581836</v>
      </c>
      <c r="G7" s="11">
        <f t="shared" si="4"/>
        <v>81.63</v>
      </c>
      <c r="H7" s="10">
        <f t="shared" si="5"/>
        <v>33.456</v>
      </c>
      <c r="I7" s="10">
        <f t="shared" si="6"/>
        <v>35.11</v>
      </c>
      <c r="J7" s="12">
        <f t="shared" si="7"/>
        <v>43.011</v>
      </c>
      <c r="K7" s="17">
        <f t="shared" si="8"/>
        <v>0.95</v>
      </c>
      <c r="L7" s="10">
        <f t="shared" si="9"/>
        <v>0.037</v>
      </c>
      <c r="M7" s="10">
        <f t="shared" si="10"/>
        <v>0.03882911868</v>
      </c>
      <c r="N7" s="18">
        <f t="shared" si="11"/>
        <v>4.09</v>
      </c>
      <c r="O7" s="9">
        <f t="shared" si="12"/>
        <v>55</v>
      </c>
      <c r="P7" s="9">
        <f t="shared" si="13"/>
        <v>10.91</v>
      </c>
    </row>
    <row r="8">
      <c r="A8" s="8">
        <v>7.0</v>
      </c>
      <c r="B8" s="15">
        <v>0.008</v>
      </c>
      <c r="C8" s="8">
        <v>0.337</v>
      </c>
      <c r="D8" s="9">
        <f t="shared" si="1"/>
        <v>100.93</v>
      </c>
      <c r="E8" s="16">
        <f t="shared" si="2"/>
        <v>0.89</v>
      </c>
      <c r="F8" s="10">
        <f t="shared" si="3"/>
        <v>2.446911851</v>
      </c>
      <c r="G8" s="11">
        <f t="shared" si="4"/>
        <v>84.39</v>
      </c>
      <c r="H8" s="10">
        <f t="shared" si="5"/>
        <v>31.4</v>
      </c>
      <c r="I8" s="10">
        <f t="shared" si="6"/>
        <v>29.04</v>
      </c>
      <c r="J8" s="12">
        <f t="shared" si="7"/>
        <v>34.412</v>
      </c>
      <c r="K8" s="17">
        <f t="shared" si="8"/>
        <v>0.941</v>
      </c>
      <c r="L8" s="10">
        <f t="shared" si="9"/>
        <v>0.041</v>
      </c>
      <c r="M8" s="10">
        <f t="shared" si="10"/>
        <v>0.03791867568</v>
      </c>
      <c r="N8" s="18">
        <f t="shared" si="11"/>
        <v>4.03</v>
      </c>
      <c r="O8" s="9">
        <f t="shared" si="12"/>
        <v>55</v>
      </c>
      <c r="P8" s="9">
        <f t="shared" si="13"/>
        <v>12.73</v>
      </c>
    </row>
    <row r="9">
      <c r="A9" s="8">
        <v>8.0</v>
      </c>
      <c r="B9" s="15">
        <v>0.011</v>
      </c>
      <c r="C9" s="8">
        <v>0.385</v>
      </c>
      <c r="D9" s="9">
        <f t="shared" si="1"/>
        <v>118.35</v>
      </c>
      <c r="E9" s="16">
        <f t="shared" si="2"/>
        <v>0.93</v>
      </c>
      <c r="F9" s="10">
        <f t="shared" si="3"/>
        <v>2.364624252</v>
      </c>
      <c r="G9" s="11">
        <f t="shared" si="4"/>
        <v>88.63</v>
      </c>
      <c r="H9" s="10">
        <f t="shared" si="5"/>
        <v>31.453</v>
      </c>
      <c r="I9" s="10">
        <f t="shared" si="6"/>
        <v>26.3</v>
      </c>
      <c r="J9" s="12">
        <f t="shared" si="7"/>
        <v>29.674</v>
      </c>
      <c r="K9" s="17">
        <f t="shared" si="8"/>
        <v>0.94</v>
      </c>
      <c r="L9" s="10">
        <f t="shared" si="9"/>
        <v>0.038</v>
      </c>
      <c r="M9" s="10">
        <f t="shared" si="10"/>
        <v>0.03176879502</v>
      </c>
      <c r="N9" s="18">
        <f t="shared" si="11"/>
        <v>3.38</v>
      </c>
      <c r="O9" s="9">
        <f t="shared" si="12"/>
        <v>55</v>
      </c>
      <c r="P9" s="9">
        <f t="shared" si="13"/>
        <v>14.55</v>
      </c>
    </row>
    <row r="10">
      <c r="A10" s="8">
        <v>9.0</v>
      </c>
      <c r="B10" s="15">
        <v>0.031</v>
      </c>
      <c r="C10" s="8">
        <v>0.651</v>
      </c>
      <c r="D10" s="9">
        <f t="shared" si="1"/>
        <v>198.67</v>
      </c>
      <c r="E10" s="16">
        <f t="shared" si="2"/>
        <v>0.92</v>
      </c>
      <c r="F10" s="10">
        <f t="shared" si="3"/>
        <v>2.306004135</v>
      </c>
      <c r="G10" s="11">
        <f t="shared" si="4"/>
        <v>100.86</v>
      </c>
      <c r="H10" s="10">
        <f t="shared" si="5"/>
        <v>47.021</v>
      </c>
      <c r="I10" s="10">
        <f t="shared" si="6"/>
        <v>36.14</v>
      </c>
      <c r="J10" s="12">
        <f t="shared" si="7"/>
        <v>35.832</v>
      </c>
      <c r="K10" s="17">
        <f t="shared" si="8"/>
        <v>0.938</v>
      </c>
      <c r="L10" s="10">
        <f t="shared" si="9"/>
        <v>0.036</v>
      </c>
      <c r="M10" s="10">
        <f t="shared" si="10"/>
        <v>0.02767204962</v>
      </c>
      <c r="N10" s="18">
        <f t="shared" si="11"/>
        <v>2.95</v>
      </c>
      <c r="O10" s="9">
        <f t="shared" si="12"/>
        <v>55</v>
      </c>
      <c r="P10" s="9">
        <f t="shared" si="13"/>
        <v>16.36</v>
      </c>
    </row>
    <row r="11">
      <c r="A11" s="8">
        <v>10.0</v>
      </c>
      <c r="B11" s="15">
        <v>9.23E-4</v>
      </c>
      <c r="C11" s="8">
        <v>0.111</v>
      </c>
      <c r="D11" s="9">
        <f t="shared" si="1"/>
        <v>34.28</v>
      </c>
      <c r="E11" s="16">
        <f t="shared" si="2"/>
        <v>0.94</v>
      </c>
      <c r="F11" s="10">
        <f t="shared" si="3"/>
        <v>2.262157163</v>
      </c>
      <c r="G11" s="11">
        <f t="shared" si="4"/>
        <v>94.2</v>
      </c>
      <c r="H11" s="10">
        <f t="shared" si="5"/>
        <v>49.077</v>
      </c>
      <c r="I11" s="10">
        <f t="shared" si="6"/>
        <v>35.11</v>
      </c>
      <c r="J11" s="12">
        <f t="shared" si="7"/>
        <v>37.272</v>
      </c>
      <c r="K11" s="17">
        <f t="shared" si="8"/>
        <v>0.938</v>
      </c>
      <c r="L11" s="10">
        <f t="shared" si="9"/>
        <v>0.034</v>
      </c>
      <c r="M11" s="10">
        <f t="shared" si="10"/>
        <v>0.0243221348</v>
      </c>
      <c r="N11" s="18">
        <f t="shared" si="11"/>
        <v>2.59</v>
      </c>
      <c r="O11" s="9">
        <f t="shared" si="12"/>
        <v>55</v>
      </c>
      <c r="P11" s="9">
        <f t="shared" si="13"/>
        <v>18.18</v>
      </c>
    </row>
    <row r="12">
      <c r="A12" s="8">
        <v>11.0</v>
      </c>
      <c r="B12" s="15">
        <v>0.012</v>
      </c>
      <c r="C12" s="8">
        <v>0.407</v>
      </c>
      <c r="D12" s="9">
        <f t="shared" si="1"/>
        <v>123.61</v>
      </c>
      <c r="E12" s="16">
        <f t="shared" si="2"/>
        <v>0.91</v>
      </c>
      <c r="F12" s="10">
        <f t="shared" si="3"/>
        <v>2.228138852</v>
      </c>
      <c r="G12" s="11">
        <f t="shared" si="4"/>
        <v>96.87</v>
      </c>
      <c r="H12" s="10">
        <f t="shared" si="5"/>
        <v>47.396</v>
      </c>
      <c r="I12" s="10">
        <f t="shared" si="6"/>
        <v>31.84</v>
      </c>
      <c r="J12" s="12">
        <f t="shared" si="7"/>
        <v>32.869</v>
      </c>
      <c r="K12" s="17">
        <f t="shared" si="8"/>
        <v>0.935</v>
      </c>
      <c r="L12" s="10">
        <f t="shared" si="9"/>
        <v>0.033</v>
      </c>
      <c r="M12" s="10">
        <f t="shared" si="10"/>
        <v>0.02216970166</v>
      </c>
      <c r="N12" s="18">
        <f t="shared" si="11"/>
        <v>2.37</v>
      </c>
      <c r="O12" s="9">
        <f t="shared" si="12"/>
        <v>55</v>
      </c>
      <c r="P12" s="9">
        <f t="shared" si="13"/>
        <v>20</v>
      </c>
    </row>
    <row r="13">
      <c r="A13" s="8">
        <v>12.0</v>
      </c>
      <c r="B13" s="15">
        <v>8.657E-4</v>
      </c>
      <c r="C13" s="8">
        <v>0.106</v>
      </c>
      <c r="D13" s="9">
        <f t="shared" si="1"/>
        <v>33.2</v>
      </c>
      <c r="E13" s="16">
        <f t="shared" si="2"/>
        <v>0.97</v>
      </c>
      <c r="F13" s="10">
        <f t="shared" si="3"/>
        <v>2.20098516</v>
      </c>
      <c r="G13" s="11">
        <f t="shared" si="4"/>
        <v>91.57</v>
      </c>
      <c r="H13" s="10">
        <f t="shared" si="5"/>
        <v>48.785</v>
      </c>
      <c r="I13" s="10">
        <f t="shared" si="6"/>
        <v>31</v>
      </c>
      <c r="J13" s="12">
        <f t="shared" si="7"/>
        <v>33.854</v>
      </c>
      <c r="K13" s="17">
        <f t="shared" si="8"/>
        <v>0.938</v>
      </c>
      <c r="L13" s="10">
        <f t="shared" si="9"/>
        <v>0.033</v>
      </c>
      <c r="M13" s="10">
        <f t="shared" si="10"/>
        <v>0.02096719968</v>
      </c>
      <c r="N13" s="18">
        <f t="shared" si="11"/>
        <v>2.24</v>
      </c>
      <c r="O13" s="9">
        <f t="shared" si="12"/>
        <v>55</v>
      </c>
      <c r="P13" s="9">
        <f t="shared" si="13"/>
        <v>21.82</v>
      </c>
    </row>
    <row r="14">
      <c r="A14" s="8">
        <v>13.0</v>
      </c>
      <c r="B14" s="15">
        <v>3.692E-4</v>
      </c>
      <c r="C14" s="8">
        <v>0.067</v>
      </c>
      <c r="D14" s="9">
        <f t="shared" si="1"/>
        <v>21.68</v>
      </c>
      <c r="E14" s="16">
        <f t="shared" si="2"/>
        <v>1.03</v>
      </c>
      <c r="F14" s="10">
        <f t="shared" si="3"/>
        <v>2.17881283</v>
      </c>
      <c r="G14" s="11">
        <f t="shared" si="4"/>
        <v>86.19</v>
      </c>
      <c r="H14" s="10">
        <f t="shared" si="5"/>
        <v>50.571</v>
      </c>
      <c r="I14" s="10">
        <f t="shared" si="6"/>
        <v>30.56</v>
      </c>
      <c r="J14" s="12">
        <f t="shared" si="7"/>
        <v>35.457</v>
      </c>
      <c r="K14" s="17">
        <f t="shared" si="8"/>
        <v>0.945</v>
      </c>
      <c r="L14" s="10">
        <f t="shared" si="9"/>
        <v>0.041</v>
      </c>
      <c r="M14" s="10">
        <f t="shared" si="10"/>
        <v>0.02477605204</v>
      </c>
      <c r="N14" s="18">
        <f t="shared" si="11"/>
        <v>2.62</v>
      </c>
      <c r="O14" s="9">
        <f t="shared" si="12"/>
        <v>55</v>
      </c>
      <c r="P14" s="9">
        <f t="shared" si="13"/>
        <v>23.64</v>
      </c>
    </row>
    <row r="15">
      <c r="A15" s="8">
        <v>14.0</v>
      </c>
      <c r="B15" s="15">
        <v>4.711E-4</v>
      </c>
      <c r="C15" s="8">
        <v>0.078</v>
      </c>
      <c r="D15" s="9">
        <f t="shared" si="1"/>
        <v>24.49</v>
      </c>
      <c r="E15" s="16">
        <f t="shared" si="2"/>
        <v>0.97</v>
      </c>
      <c r="F15" s="10">
        <f t="shared" si="3"/>
        <v>2.160368656</v>
      </c>
      <c r="G15" s="11">
        <f t="shared" si="4"/>
        <v>81.79</v>
      </c>
      <c r="H15" s="10">
        <f t="shared" si="5"/>
        <v>51.309</v>
      </c>
      <c r="I15" s="10">
        <f t="shared" si="6"/>
        <v>29.62</v>
      </c>
      <c r="J15" s="12">
        <f t="shared" si="7"/>
        <v>36.215</v>
      </c>
      <c r="K15" s="17">
        <f t="shared" si="8"/>
        <v>0.947</v>
      </c>
      <c r="L15" s="10">
        <f t="shared" si="9"/>
        <v>0.04</v>
      </c>
      <c r="M15" s="10">
        <f t="shared" si="10"/>
        <v>0.0230953124</v>
      </c>
      <c r="N15" s="18">
        <f t="shared" si="11"/>
        <v>2.44</v>
      </c>
      <c r="O15" s="9">
        <f t="shared" si="12"/>
        <v>55</v>
      </c>
      <c r="P15" s="9">
        <f t="shared" si="13"/>
        <v>25.45</v>
      </c>
    </row>
    <row r="16">
      <c r="A16" s="8">
        <v>15.0</v>
      </c>
      <c r="B16" s="15">
        <v>0.006</v>
      </c>
      <c r="C16" s="8">
        <v>0.283</v>
      </c>
      <c r="D16" s="9">
        <f t="shared" si="1"/>
        <v>87.4</v>
      </c>
      <c r="E16" s="16">
        <f t="shared" si="2"/>
        <v>0.94</v>
      </c>
      <c r="F16" s="10">
        <f t="shared" si="3"/>
        <v>2.144786688</v>
      </c>
      <c r="G16" s="11">
        <f t="shared" si="4"/>
        <v>82.16</v>
      </c>
      <c r="H16" s="10">
        <f t="shared" si="5"/>
        <v>49.464</v>
      </c>
      <c r="I16" s="10">
        <f t="shared" si="6"/>
        <v>27.39</v>
      </c>
      <c r="J16" s="12">
        <f t="shared" si="7"/>
        <v>33.337</v>
      </c>
      <c r="K16" s="17">
        <f t="shared" si="8"/>
        <v>0.947</v>
      </c>
      <c r="L16" s="10">
        <f t="shared" si="9"/>
        <v>0.038</v>
      </c>
      <c r="M16" s="10">
        <f t="shared" si="10"/>
        <v>0.02104369858</v>
      </c>
      <c r="N16" s="18">
        <f t="shared" si="11"/>
        <v>2.22</v>
      </c>
      <c r="O16" s="9">
        <f t="shared" si="12"/>
        <v>55</v>
      </c>
      <c r="P16" s="9">
        <f t="shared" si="13"/>
        <v>27.27</v>
      </c>
    </row>
    <row r="17">
      <c r="A17" s="8">
        <v>16.0</v>
      </c>
      <c r="B17" s="15">
        <v>0.012</v>
      </c>
      <c r="C17" s="8">
        <v>0.401</v>
      </c>
      <c r="D17" s="9">
        <f t="shared" si="1"/>
        <v>123.61</v>
      </c>
      <c r="E17" s="16">
        <f t="shared" si="2"/>
        <v>0.94</v>
      </c>
      <c r="F17" s="10">
        <f t="shared" si="3"/>
        <v>2.131449546</v>
      </c>
      <c r="G17" s="11">
        <f t="shared" si="4"/>
        <v>84.75</v>
      </c>
      <c r="H17" s="10">
        <f t="shared" si="5"/>
        <v>48.897</v>
      </c>
      <c r="I17" s="10">
        <f t="shared" si="6"/>
        <v>26.06</v>
      </c>
      <c r="J17" s="12">
        <f t="shared" si="7"/>
        <v>30.749</v>
      </c>
      <c r="K17" s="17">
        <f t="shared" si="8"/>
        <v>0.946</v>
      </c>
      <c r="L17" s="10">
        <f t="shared" si="9"/>
        <v>0.037</v>
      </c>
      <c r="M17" s="10">
        <f t="shared" si="10"/>
        <v>0.0197159083</v>
      </c>
      <c r="N17" s="18">
        <f t="shared" si="11"/>
        <v>2.08</v>
      </c>
      <c r="O17" s="9">
        <f t="shared" si="12"/>
        <v>55</v>
      </c>
      <c r="P17" s="9">
        <f t="shared" si="13"/>
        <v>29.09</v>
      </c>
    </row>
    <row r="18">
      <c r="A18" s="8">
        <v>17.0</v>
      </c>
      <c r="B18" s="15">
        <v>0.007</v>
      </c>
      <c r="C18" s="8">
        <v>0.308</v>
      </c>
      <c r="D18" s="9">
        <f t="shared" si="1"/>
        <v>94.41</v>
      </c>
      <c r="E18" s="16">
        <f t="shared" si="2"/>
        <v>0.93</v>
      </c>
      <c r="F18" s="10">
        <f t="shared" si="3"/>
        <v>2.119905299</v>
      </c>
      <c r="G18" s="11">
        <f t="shared" si="4"/>
        <v>85.32</v>
      </c>
      <c r="H18" s="10">
        <f t="shared" si="5"/>
        <v>47.403</v>
      </c>
      <c r="I18" s="10">
        <f t="shared" si="6"/>
        <v>24.37</v>
      </c>
      <c r="J18" s="12">
        <f t="shared" si="7"/>
        <v>28.563</v>
      </c>
      <c r="K18" s="17">
        <f t="shared" si="8"/>
        <v>0.945</v>
      </c>
      <c r="L18" s="10">
        <f t="shared" si="9"/>
        <v>0.036</v>
      </c>
      <c r="M18" s="10">
        <f t="shared" si="10"/>
        <v>0.01850949204</v>
      </c>
      <c r="N18" s="18">
        <f t="shared" si="11"/>
        <v>1.96</v>
      </c>
      <c r="O18" s="9">
        <f t="shared" si="12"/>
        <v>55</v>
      </c>
      <c r="P18" s="9">
        <f t="shared" si="13"/>
        <v>30.91</v>
      </c>
    </row>
    <row r="19">
      <c r="A19" s="8">
        <v>18.0</v>
      </c>
      <c r="B19" s="15">
        <v>0.01</v>
      </c>
      <c r="C19" s="8">
        <v>0.371</v>
      </c>
      <c r="D19" s="9">
        <f t="shared" si="1"/>
        <v>112.84</v>
      </c>
      <c r="E19" s="16">
        <f t="shared" si="2"/>
        <v>0.91</v>
      </c>
      <c r="F19" s="10">
        <f t="shared" si="3"/>
        <v>2.109815578</v>
      </c>
      <c r="G19" s="11">
        <f t="shared" si="4"/>
        <v>86.85</v>
      </c>
      <c r="H19" s="10">
        <f t="shared" si="5"/>
        <v>46.443</v>
      </c>
      <c r="I19" s="10">
        <f t="shared" si="6"/>
        <v>23.1</v>
      </c>
      <c r="J19" s="12">
        <f t="shared" si="7"/>
        <v>26.598</v>
      </c>
      <c r="K19" s="17">
        <f t="shared" si="8"/>
        <v>0.943</v>
      </c>
      <c r="L19" s="10">
        <f t="shared" si="9"/>
        <v>0.036</v>
      </c>
      <c r="M19" s="10">
        <f t="shared" si="10"/>
        <v>0.01790237883</v>
      </c>
      <c r="N19" s="18">
        <f t="shared" si="11"/>
        <v>1.9</v>
      </c>
      <c r="O19" s="9">
        <f t="shared" si="12"/>
        <v>55</v>
      </c>
      <c r="P19" s="9">
        <f t="shared" si="13"/>
        <v>32.73</v>
      </c>
    </row>
    <row r="20">
      <c r="A20" s="8">
        <v>19.0</v>
      </c>
      <c r="B20" s="15">
        <v>4.902E-4</v>
      </c>
      <c r="C20" s="8">
        <v>0.079</v>
      </c>
      <c r="D20" s="9">
        <f t="shared" si="1"/>
        <v>24.98</v>
      </c>
      <c r="E20" s="16">
        <f t="shared" si="2"/>
        <v>0.99</v>
      </c>
      <c r="F20" s="10">
        <f t="shared" si="3"/>
        <v>2.10092204</v>
      </c>
      <c r="G20" s="11">
        <f t="shared" si="4"/>
        <v>83.59</v>
      </c>
      <c r="H20" s="10">
        <f t="shared" si="5"/>
        <v>47.313</v>
      </c>
      <c r="I20" s="10">
        <f t="shared" si="6"/>
        <v>22.8</v>
      </c>
      <c r="J20" s="12">
        <f t="shared" si="7"/>
        <v>27.276</v>
      </c>
      <c r="K20" s="17">
        <f t="shared" si="8"/>
        <v>0.946</v>
      </c>
      <c r="L20" s="10">
        <f t="shared" si="9"/>
        <v>0.037</v>
      </c>
      <c r="M20" s="10">
        <f t="shared" si="10"/>
        <v>0.01783342915</v>
      </c>
      <c r="N20" s="18">
        <f t="shared" si="11"/>
        <v>1.89</v>
      </c>
      <c r="O20" s="9">
        <f t="shared" si="12"/>
        <v>55</v>
      </c>
      <c r="P20" s="9">
        <f t="shared" si="13"/>
        <v>34.55</v>
      </c>
    </row>
    <row r="21">
      <c r="A21" s="8">
        <v>20.0</v>
      </c>
      <c r="B21" s="15">
        <v>0.009</v>
      </c>
      <c r="C21" s="8">
        <v>0.355</v>
      </c>
      <c r="D21" s="9">
        <f t="shared" si="1"/>
        <v>107.05</v>
      </c>
      <c r="E21" s="16">
        <f t="shared" si="2"/>
        <v>0.9</v>
      </c>
      <c r="F21" s="10">
        <f t="shared" si="3"/>
        <v>2.093024054</v>
      </c>
      <c r="G21" s="11">
        <f t="shared" si="4"/>
        <v>84.76</v>
      </c>
      <c r="H21" s="10">
        <f t="shared" si="5"/>
        <v>46.349</v>
      </c>
      <c r="I21" s="10">
        <f t="shared" si="6"/>
        <v>21.69</v>
      </c>
      <c r="J21" s="12">
        <f t="shared" si="7"/>
        <v>25.59</v>
      </c>
      <c r="K21" s="17">
        <f t="shared" si="8"/>
        <v>0.944</v>
      </c>
      <c r="L21" s="10">
        <f t="shared" si="9"/>
        <v>0.037</v>
      </c>
      <c r="M21" s="10">
        <f t="shared" si="10"/>
        <v>0.01731653304</v>
      </c>
      <c r="N21" s="18">
        <f t="shared" si="11"/>
        <v>1.83</v>
      </c>
      <c r="O21" s="9">
        <f t="shared" si="12"/>
        <v>55</v>
      </c>
      <c r="P21" s="9">
        <f t="shared" si="13"/>
        <v>36.36</v>
      </c>
    </row>
    <row r="22">
      <c r="A22" s="8">
        <v>21.0</v>
      </c>
      <c r="B22" s="8">
        <v>0.006</v>
      </c>
      <c r="C22" s="8">
        <v>0.285</v>
      </c>
      <c r="D22" s="9">
        <f t="shared" si="1"/>
        <v>87.4</v>
      </c>
      <c r="E22" s="9">
        <f t="shared" si="2"/>
        <v>0.93</v>
      </c>
      <c r="F22" s="10">
        <f t="shared" si="3"/>
        <v>2.085963447</v>
      </c>
      <c r="G22" s="11">
        <f t="shared" si="4"/>
        <v>84.89</v>
      </c>
      <c r="H22" s="10">
        <f t="shared" si="5"/>
        <v>45.179</v>
      </c>
      <c r="I22" s="10">
        <f t="shared" si="6"/>
        <v>20.57</v>
      </c>
      <c r="J22" s="12">
        <f t="shared" si="7"/>
        <v>24.231</v>
      </c>
      <c r="K22" s="17">
        <f t="shared" si="8"/>
        <v>0.943</v>
      </c>
      <c r="L22" s="10">
        <f t="shared" si="9"/>
        <v>0.036</v>
      </c>
      <c r="M22" s="10">
        <f t="shared" si="10"/>
        <v>0.01638700353</v>
      </c>
      <c r="N22" s="18">
        <f t="shared" si="11"/>
        <v>1.74</v>
      </c>
      <c r="O22" s="9">
        <f t="shared" si="12"/>
        <v>55</v>
      </c>
      <c r="P22" s="9">
        <f t="shared" si="13"/>
        <v>38.18</v>
      </c>
    </row>
    <row r="23">
      <c r="A23" s="8">
        <v>22.0</v>
      </c>
      <c r="B23" s="15">
        <v>4.647E-4</v>
      </c>
      <c r="C23" s="8">
        <v>0.076</v>
      </c>
      <c r="D23" s="9">
        <f t="shared" si="1"/>
        <v>24.32</v>
      </c>
      <c r="E23" s="16">
        <f t="shared" si="2"/>
        <v>1.01</v>
      </c>
      <c r="F23" s="10">
        <f t="shared" si="3"/>
        <v>2.079613845</v>
      </c>
      <c r="G23" s="11">
        <f t="shared" si="4"/>
        <v>82.14</v>
      </c>
      <c r="H23" s="10">
        <f t="shared" si="5"/>
        <v>45.942</v>
      </c>
      <c r="I23" s="10">
        <f t="shared" si="6"/>
        <v>20.37</v>
      </c>
      <c r="J23" s="12">
        <f t="shared" si="7"/>
        <v>24.799</v>
      </c>
      <c r="K23" s="17">
        <f t="shared" si="8"/>
        <v>0.946</v>
      </c>
      <c r="L23" s="10">
        <f t="shared" si="9"/>
        <v>0.038</v>
      </c>
      <c r="M23" s="10">
        <f t="shared" si="10"/>
        <v>0.01684825613</v>
      </c>
      <c r="N23" s="18">
        <f t="shared" si="11"/>
        <v>1.78</v>
      </c>
      <c r="O23" s="9">
        <f t="shared" si="12"/>
        <v>55</v>
      </c>
      <c r="P23" s="9">
        <f t="shared" si="13"/>
        <v>40</v>
      </c>
    </row>
    <row r="24">
      <c r="A24" s="8">
        <v>23.0</v>
      </c>
      <c r="B24" s="15">
        <v>0.013</v>
      </c>
      <c r="C24" s="8">
        <v>0.425</v>
      </c>
      <c r="D24" s="9">
        <f t="shared" si="1"/>
        <v>128.66</v>
      </c>
      <c r="E24" s="16">
        <f t="shared" si="2"/>
        <v>0.9</v>
      </c>
      <c r="F24" s="10">
        <f t="shared" si="3"/>
        <v>2.073873068</v>
      </c>
      <c r="G24" s="11">
        <f t="shared" si="4"/>
        <v>84.16</v>
      </c>
      <c r="H24" s="10">
        <f t="shared" si="5"/>
        <v>45.922</v>
      </c>
      <c r="I24" s="10">
        <f t="shared" si="6"/>
        <v>19.86</v>
      </c>
      <c r="J24" s="12">
        <f t="shared" si="7"/>
        <v>23.598</v>
      </c>
      <c r="K24" s="17">
        <f t="shared" si="8"/>
        <v>0.944</v>
      </c>
      <c r="L24" s="10">
        <f t="shared" si="9"/>
        <v>0.038</v>
      </c>
      <c r="M24" s="10">
        <f t="shared" si="10"/>
        <v>0.01643243225</v>
      </c>
      <c r="N24" s="18">
        <f t="shared" si="11"/>
        <v>1.74</v>
      </c>
      <c r="O24" s="9">
        <f t="shared" si="12"/>
        <v>55</v>
      </c>
      <c r="P24" s="9">
        <f t="shared" si="13"/>
        <v>41.82</v>
      </c>
    </row>
    <row r="25">
      <c r="A25" s="8">
        <v>24.0</v>
      </c>
      <c r="B25" s="8">
        <v>0.002</v>
      </c>
      <c r="C25" s="8">
        <v>0.142</v>
      </c>
      <c r="D25" s="9">
        <f t="shared" si="1"/>
        <v>50.46</v>
      </c>
      <c r="E25" s="9">
        <f t="shared" si="2"/>
        <v>1.25</v>
      </c>
      <c r="F25" s="10">
        <f t="shared" si="3"/>
        <v>2.06865761</v>
      </c>
      <c r="G25" s="11">
        <f t="shared" si="4"/>
        <v>82.76</v>
      </c>
      <c r="H25" s="10">
        <f t="shared" si="5"/>
        <v>45.437</v>
      </c>
      <c r="I25" s="10">
        <f t="shared" si="6"/>
        <v>19.19</v>
      </c>
      <c r="J25" s="12">
        <f t="shared" si="7"/>
        <v>23.188</v>
      </c>
      <c r="K25" s="17">
        <f t="shared" si="8"/>
        <v>0.957</v>
      </c>
      <c r="L25" s="10">
        <f t="shared" si="9"/>
        <v>0.073</v>
      </c>
      <c r="M25" s="10">
        <f t="shared" si="10"/>
        <v>0.03082519655</v>
      </c>
      <c r="N25" s="18">
        <f t="shared" si="11"/>
        <v>3.22</v>
      </c>
      <c r="O25" s="9">
        <f t="shared" si="12"/>
        <v>55</v>
      </c>
      <c r="P25" s="9">
        <f t="shared" si="13"/>
        <v>43.64</v>
      </c>
    </row>
    <row r="26">
      <c r="A26" s="8">
        <v>25.0</v>
      </c>
      <c r="B26" s="15">
        <v>0.006</v>
      </c>
      <c r="C26" s="8">
        <v>0.288</v>
      </c>
      <c r="D26" s="9">
        <f t="shared" si="1"/>
        <v>87.4</v>
      </c>
      <c r="E26" s="16">
        <f t="shared" si="2"/>
        <v>0.91</v>
      </c>
      <c r="F26" s="10">
        <f t="shared" si="3"/>
        <v>2.063898562</v>
      </c>
      <c r="G26" s="11">
        <f t="shared" si="4"/>
        <v>82.94</v>
      </c>
      <c r="H26" s="10">
        <f t="shared" si="5"/>
        <v>44.49</v>
      </c>
      <c r="I26" s="10">
        <f t="shared" si="6"/>
        <v>18.36</v>
      </c>
      <c r="J26" s="12">
        <f t="shared" si="7"/>
        <v>22.136</v>
      </c>
      <c r="K26" s="17">
        <f t="shared" si="8"/>
        <v>0.955</v>
      </c>
      <c r="L26" s="10">
        <f t="shared" si="9"/>
        <v>0.072</v>
      </c>
      <c r="M26" s="10">
        <f t="shared" si="10"/>
        <v>0.02972013929</v>
      </c>
      <c r="N26" s="18">
        <f t="shared" si="11"/>
        <v>3.11</v>
      </c>
      <c r="O26" s="9">
        <f t="shared" si="12"/>
        <v>55</v>
      </c>
      <c r="P26" s="9">
        <f t="shared" si="13"/>
        <v>45.45</v>
      </c>
    </row>
    <row r="27">
      <c r="A27" s="8">
        <v>26.0</v>
      </c>
      <c r="B27" s="15">
        <v>0.008</v>
      </c>
      <c r="C27" s="8">
        <v>0.325</v>
      </c>
      <c r="D27" s="9">
        <f t="shared" si="1"/>
        <v>100.93</v>
      </c>
      <c r="E27" s="16">
        <f t="shared" si="2"/>
        <v>0.95</v>
      </c>
      <c r="F27" s="10">
        <f t="shared" si="3"/>
        <v>2.059538553</v>
      </c>
      <c r="G27" s="11">
        <f t="shared" si="4"/>
        <v>83.63</v>
      </c>
      <c r="H27" s="10">
        <f t="shared" si="5"/>
        <v>43.733</v>
      </c>
      <c r="I27" s="10">
        <f t="shared" si="6"/>
        <v>17.66</v>
      </c>
      <c r="J27" s="12">
        <f t="shared" si="7"/>
        <v>21.117</v>
      </c>
      <c r="K27" s="17">
        <f t="shared" si="8"/>
        <v>0.955</v>
      </c>
      <c r="L27" s="10">
        <f t="shared" si="9"/>
        <v>0.071</v>
      </c>
      <c r="M27" s="10">
        <f t="shared" si="10"/>
        <v>0.02867752062</v>
      </c>
      <c r="N27" s="18">
        <f t="shared" si="11"/>
        <v>3</v>
      </c>
      <c r="O27" s="9">
        <f t="shared" si="12"/>
        <v>55</v>
      </c>
      <c r="P27" s="9">
        <f t="shared" si="13"/>
        <v>47.27</v>
      </c>
    </row>
    <row r="28">
      <c r="A28" s="8">
        <v>27.0</v>
      </c>
      <c r="B28" s="15">
        <v>9.867E-4</v>
      </c>
      <c r="C28" s="8">
        <v>0.113</v>
      </c>
      <c r="D28" s="9">
        <f t="shared" si="1"/>
        <v>35.44</v>
      </c>
      <c r="E28" s="16">
        <f t="shared" si="2"/>
        <v>0.97</v>
      </c>
      <c r="F28" s="10">
        <f t="shared" si="3"/>
        <v>2.055529439</v>
      </c>
      <c r="G28" s="11">
        <f t="shared" si="4"/>
        <v>81.85</v>
      </c>
      <c r="H28" s="10">
        <f t="shared" si="5"/>
        <v>43.876</v>
      </c>
      <c r="I28" s="10">
        <f t="shared" si="6"/>
        <v>17.36</v>
      </c>
      <c r="J28" s="12">
        <f t="shared" si="7"/>
        <v>21.21</v>
      </c>
      <c r="K28" s="17">
        <f t="shared" si="8"/>
        <v>0.955</v>
      </c>
      <c r="L28" s="10">
        <f t="shared" si="9"/>
        <v>0.069</v>
      </c>
      <c r="M28" s="10">
        <f t="shared" si="10"/>
        <v>0.02729549092</v>
      </c>
      <c r="N28" s="18">
        <f t="shared" si="11"/>
        <v>2.86</v>
      </c>
      <c r="O28" s="9">
        <f t="shared" si="12"/>
        <v>55</v>
      </c>
      <c r="P28" s="9">
        <f t="shared" si="13"/>
        <v>49.09</v>
      </c>
    </row>
    <row r="29">
      <c r="A29" s="8">
        <v>28.0</v>
      </c>
      <c r="B29" s="15">
        <v>0.002</v>
      </c>
      <c r="C29" s="8">
        <v>0.141</v>
      </c>
      <c r="D29" s="9">
        <f t="shared" si="1"/>
        <v>50.46</v>
      </c>
      <c r="E29" s="16">
        <f t="shared" si="2"/>
        <v>1.26</v>
      </c>
      <c r="F29" s="10">
        <f t="shared" si="3"/>
        <v>2.051830516</v>
      </c>
      <c r="G29" s="11">
        <f t="shared" si="4"/>
        <v>80.73</v>
      </c>
      <c r="H29" s="10">
        <f t="shared" si="5"/>
        <v>43.462</v>
      </c>
      <c r="I29" s="10">
        <f t="shared" si="6"/>
        <v>16.85</v>
      </c>
      <c r="J29" s="12">
        <f t="shared" si="7"/>
        <v>20.872</v>
      </c>
      <c r="K29" s="17">
        <f t="shared" si="8"/>
        <v>0.966</v>
      </c>
      <c r="L29" s="10">
        <f t="shared" si="9"/>
        <v>0.089</v>
      </c>
      <c r="M29" s="10">
        <f t="shared" si="10"/>
        <v>0.03451059727</v>
      </c>
      <c r="N29" s="18">
        <f t="shared" si="11"/>
        <v>3.57</v>
      </c>
      <c r="O29" s="9">
        <f t="shared" si="12"/>
        <v>55</v>
      </c>
      <c r="P29" s="9">
        <f t="shared" si="13"/>
        <v>50.91</v>
      </c>
    </row>
    <row r="30">
      <c r="A30" s="8">
        <v>29.0</v>
      </c>
      <c r="B30" s="15">
        <v>0.008</v>
      </c>
      <c r="C30" s="8">
        <v>0.334</v>
      </c>
      <c r="D30" s="9">
        <f t="shared" si="1"/>
        <v>100.93</v>
      </c>
      <c r="E30" s="16">
        <f t="shared" si="2"/>
        <v>0.9</v>
      </c>
      <c r="F30" s="10">
        <f t="shared" si="3"/>
        <v>2.048407142</v>
      </c>
      <c r="G30" s="11">
        <f t="shared" si="4"/>
        <v>81.42</v>
      </c>
      <c r="H30" s="10">
        <f t="shared" si="5"/>
        <v>42.844</v>
      </c>
      <c r="I30" s="10">
        <f t="shared" si="6"/>
        <v>16.3</v>
      </c>
      <c r="J30" s="12">
        <f t="shared" si="7"/>
        <v>20.02</v>
      </c>
      <c r="K30" s="17">
        <f t="shared" si="8"/>
        <v>0.964</v>
      </c>
      <c r="L30" s="10">
        <f t="shared" si="9"/>
        <v>0.088</v>
      </c>
      <c r="M30" s="10">
        <f t="shared" si="10"/>
        <v>0.03347340981</v>
      </c>
      <c r="N30" s="18">
        <f t="shared" si="11"/>
        <v>3.47</v>
      </c>
      <c r="O30" s="9">
        <f t="shared" si="12"/>
        <v>55</v>
      </c>
      <c r="P30" s="9">
        <f t="shared" si="13"/>
        <v>52.73</v>
      </c>
    </row>
    <row r="31">
      <c r="A31" s="8">
        <v>30.0</v>
      </c>
      <c r="B31" s="15">
        <v>0.002</v>
      </c>
      <c r="C31" s="8">
        <v>0.166</v>
      </c>
      <c r="D31" s="9">
        <f t="shared" si="1"/>
        <v>50.46</v>
      </c>
      <c r="E31" s="16">
        <f t="shared" si="2"/>
        <v>0.91</v>
      </c>
      <c r="F31" s="10">
        <f t="shared" si="3"/>
        <v>2.045229642</v>
      </c>
      <c r="G31" s="11">
        <f t="shared" si="4"/>
        <v>80.39</v>
      </c>
      <c r="H31" s="10">
        <f t="shared" si="5"/>
        <v>42.476</v>
      </c>
      <c r="I31" s="10">
        <f t="shared" si="6"/>
        <v>15.86</v>
      </c>
      <c r="J31" s="12">
        <f t="shared" si="7"/>
        <v>19.729</v>
      </c>
      <c r="K31" s="17">
        <f t="shared" si="8"/>
        <v>0.962</v>
      </c>
      <c r="L31" s="10">
        <f t="shared" si="9"/>
        <v>0.087</v>
      </c>
      <c r="M31" s="10">
        <f t="shared" si="10"/>
        <v>0.0324863339</v>
      </c>
      <c r="N31" s="18">
        <f t="shared" si="11"/>
        <v>3.38</v>
      </c>
      <c r="O31" s="9">
        <f t="shared" si="12"/>
        <v>55</v>
      </c>
      <c r="P31" s="9">
        <f t="shared" si="13"/>
        <v>54.55</v>
      </c>
    </row>
    <row r="32">
      <c r="A32" s="8">
        <v>31.0</v>
      </c>
      <c r="B32" s="15">
        <v>9.548E-4</v>
      </c>
      <c r="C32" s="8">
        <v>0.113</v>
      </c>
      <c r="D32" s="9">
        <f t="shared" si="1"/>
        <v>34.87</v>
      </c>
      <c r="E32" s="16">
        <f t="shared" si="2"/>
        <v>0.94</v>
      </c>
      <c r="F32" s="10">
        <f t="shared" si="3"/>
        <v>2.042272456</v>
      </c>
      <c r="G32" s="11">
        <f t="shared" si="4"/>
        <v>78.92</v>
      </c>
      <c r="H32" s="10">
        <f t="shared" si="5"/>
        <v>42.555</v>
      </c>
      <c r="I32" s="10">
        <f t="shared" si="6"/>
        <v>15.61</v>
      </c>
      <c r="J32" s="12">
        <f t="shared" si="7"/>
        <v>19.78</v>
      </c>
      <c r="K32" s="17">
        <f t="shared" si="8"/>
        <v>0.961</v>
      </c>
      <c r="L32" s="10">
        <f t="shared" si="9"/>
        <v>0.086</v>
      </c>
      <c r="M32" s="10">
        <f t="shared" si="10"/>
        <v>0.03154505467</v>
      </c>
      <c r="N32" s="18">
        <f t="shared" si="11"/>
        <v>3.28</v>
      </c>
      <c r="O32" s="9">
        <f t="shared" si="12"/>
        <v>55</v>
      </c>
      <c r="P32" s="9">
        <f t="shared" si="13"/>
        <v>56.36</v>
      </c>
    </row>
    <row r="33">
      <c r="A33" s="8">
        <v>32.0</v>
      </c>
      <c r="B33" s="15">
        <v>0.007</v>
      </c>
      <c r="C33" s="8">
        <v>0.301</v>
      </c>
      <c r="D33" s="9">
        <f t="shared" si="1"/>
        <v>94.41</v>
      </c>
      <c r="E33" s="16">
        <f t="shared" si="2"/>
        <v>0.97</v>
      </c>
      <c r="F33" s="10">
        <f t="shared" si="3"/>
        <v>2.039513446</v>
      </c>
      <c r="G33" s="11">
        <f t="shared" si="4"/>
        <v>79.41</v>
      </c>
      <c r="H33" s="10">
        <f t="shared" si="5"/>
        <v>41.953</v>
      </c>
      <c r="I33" s="10">
        <f t="shared" si="6"/>
        <v>15.13</v>
      </c>
      <c r="J33" s="12">
        <f t="shared" si="7"/>
        <v>19.053</v>
      </c>
      <c r="K33" s="17">
        <f t="shared" si="8"/>
        <v>0.962</v>
      </c>
      <c r="L33" s="10">
        <f t="shared" si="9"/>
        <v>0.085</v>
      </c>
      <c r="M33" s="10">
        <f t="shared" si="10"/>
        <v>0.030645768</v>
      </c>
      <c r="N33" s="18">
        <f t="shared" si="11"/>
        <v>3.19</v>
      </c>
      <c r="O33" s="9">
        <f t="shared" si="12"/>
        <v>55</v>
      </c>
      <c r="P33" s="9">
        <f t="shared" si="13"/>
        <v>58.18</v>
      </c>
    </row>
    <row r="34">
      <c r="A34" s="8">
        <v>33.0</v>
      </c>
      <c r="B34" s="15">
        <v>0.001</v>
      </c>
      <c r="C34" s="8">
        <v>0.126</v>
      </c>
      <c r="D34" s="9">
        <f t="shared" si="1"/>
        <v>35.68</v>
      </c>
      <c r="E34" s="16">
        <f t="shared" si="2"/>
        <v>0.79</v>
      </c>
      <c r="F34" s="10">
        <f t="shared" si="3"/>
        <v>2.036933343</v>
      </c>
      <c r="G34" s="11">
        <f t="shared" si="4"/>
        <v>78.08</v>
      </c>
      <c r="H34" s="10">
        <f t="shared" si="5"/>
        <v>41.988</v>
      </c>
      <c r="I34" s="10">
        <f t="shared" si="6"/>
        <v>14.89</v>
      </c>
      <c r="J34" s="12">
        <f t="shared" si="7"/>
        <v>19.07</v>
      </c>
      <c r="K34" s="17">
        <f t="shared" si="8"/>
        <v>0.956</v>
      </c>
      <c r="L34" s="10">
        <f t="shared" si="9"/>
        <v>0.088</v>
      </c>
      <c r="M34" s="10">
        <f t="shared" si="10"/>
        <v>0.0312034432</v>
      </c>
      <c r="N34" s="18">
        <f t="shared" si="11"/>
        <v>3.26</v>
      </c>
      <c r="O34" s="9">
        <f t="shared" si="12"/>
        <v>55</v>
      </c>
      <c r="P34" s="9">
        <f t="shared" si="13"/>
        <v>60</v>
      </c>
    </row>
    <row r="35">
      <c r="A35" s="8">
        <v>34.0</v>
      </c>
      <c r="B35" s="8">
        <v>0.01</v>
      </c>
      <c r="C35" s="8">
        <v>0.403</v>
      </c>
      <c r="D35" s="9">
        <f t="shared" si="1"/>
        <v>112.84</v>
      </c>
      <c r="E35" s="9">
        <f t="shared" si="2"/>
        <v>0.77</v>
      </c>
      <c r="F35" s="10">
        <f t="shared" si="3"/>
        <v>2.034515297</v>
      </c>
      <c r="G35" s="11">
        <f t="shared" si="4"/>
        <v>79.1</v>
      </c>
      <c r="H35" s="10">
        <f t="shared" si="5"/>
        <v>41.774</v>
      </c>
      <c r="I35" s="10">
        <f t="shared" si="6"/>
        <v>14.58</v>
      </c>
      <c r="J35" s="12">
        <f t="shared" si="7"/>
        <v>18.432</v>
      </c>
      <c r="K35" s="17">
        <f t="shared" si="8"/>
        <v>0.951</v>
      </c>
      <c r="L35" s="10">
        <f t="shared" si="9"/>
        <v>0.093</v>
      </c>
      <c r="M35" s="10">
        <f t="shared" si="10"/>
        <v>0.03244923403</v>
      </c>
      <c r="N35" s="18">
        <f t="shared" si="11"/>
        <v>3.41</v>
      </c>
      <c r="O35" s="9">
        <f t="shared" si="12"/>
        <v>55</v>
      </c>
      <c r="P35" s="9">
        <f t="shared" si="13"/>
        <v>61.82</v>
      </c>
    </row>
    <row r="36">
      <c r="A36" s="8">
        <v>35.0</v>
      </c>
      <c r="B36" s="15">
        <v>0.005</v>
      </c>
      <c r="C36" s="8">
        <v>0.271</v>
      </c>
      <c r="D36" s="9">
        <f t="shared" si="1"/>
        <v>79.79</v>
      </c>
      <c r="E36" s="16">
        <f t="shared" si="2"/>
        <v>0.86</v>
      </c>
      <c r="F36" s="10">
        <f t="shared" si="3"/>
        <v>2.032244509</v>
      </c>
      <c r="G36" s="11">
        <f t="shared" si="4"/>
        <v>79.12</v>
      </c>
      <c r="H36" s="10">
        <f t="shared" si="5"/>
        <v>41.155</v>
      </c>
      <c r="I36" s="10">
        <f t="shared" si="6"/>
        <v>14.14</v>
      </c>
      <c r="J36" s="12">
        <f t="shared" si="7"/>
        <v>17.872</v>
      </c>
      <c r="K36" s="17">
        <f t="shared" si="8"/>
        <v>0.948</v>
      </c>
      <c r="L36" s="10">
        <f t="shared" si="9"/>
        <v>0.093</v>
      </c>
      <c r="M36" s="10">
        <f t="shared" si="10"/>
        <v>0.03194661774</v>
      </c>
      <c r="N36" s="18">
        <f t="shared" si="11"/>
        <v>3.37</v>
      </c>
      <c r="O36" s="9">
        <f t="shared" si="12"/>
        <v>55</v>
      </c>
      <c r="P36" s="9">
        <f t="shared" si="13"/>
        <v>63.64</v>
      </c>
    </row>
    <row r="37">
      <c r="A37" s="8">
        <v>36.0</v>
      </c>
      <c r="B37" s="15">
        <v>0.004</v>
      </c>
      <c r="C37" s="8">
        <v>0.23</v>
      </c>
      <c r="D37" s="9">
        <f t="shared" si="1"/>
        <v>71.36</v>
      </c>
      <c r="E37" s="16">
        <f t="shared" si="2"/>
        <v>0.95</v>
      </c>
      <c r="F37" s="10">
        <f t="shared" si="3"/>
        <v>2.030107928</v>
      </c>
      <c r="G37" s="11">
        <f t="shared" si="4"/>
        <v>78.91</v>
      </c>
      <c r="H37" s="10">
        <f t="shared" si="5"/>
        <v>40.584</v>
      </c>
      <c r="I37" s="10">
        <f t="shared" si="6"/>
        <v>13.73</v>
      </c>
      <c r="J37" s="12">
        <f t="shared" si="7"/>
        <v>17.4</v>
      </c>
      <c r="K37" s="17">
        <f t="shared" si="8"/>
        <v>0.948</v>
      </c>
      <c r="L37" s="10">
        <f t="shared" si="9"/>
        <v>0.091</v>
      </c>
      <c r="M37" s="10">
        <f t="shared" si="10"/>
        <v>0.03078997025</v>
      </c>
      <c r="N37" s="18">
        <f t="shared" si="11"/>
        <v>3.25</v>
      </c>
      <c r="O37" s="9">
        <f t="shared" si="12"/>
        <v>55</v>
      </c>
      <c r="P37" s="9">
        <f t="shared" si="13"/>
        <v>65.45</v>
      </c>
    </row>
    <row r="38">
      <c r="A38" s="8">
        <v>37.0</v>
      </c>
      <c r="B38" s="15">
        <v>0.001</v>
      </c>
      <c r="C38" s="8">
        <v>0.124</v>
      </c>
      <c r="D38" s="9">
        <f t="shared" si="1"/>
        <v>35.68</v>
      </c>
      <c r="E38" s="16">
        <f t="shared" si="2"/>
        <v>0.82</v>
      </c>
      <c r="F38" s="10">
        <f t="shared" si="3"/>
        <v>2.028094001</v>
      </c>
      <c r="G38" s="11">
        <f t="shared" si="4"/>
        <v>77.74</v>
      </c>
      <c r="H38" s="10">
        <f t="shared" si="5"/>
        <v>40.642</v>
      </c>
      <c r="I38" s="10">
        <f t="shared" si="6"/>
        <v>13.55</v>
      </c>
      <c r="J38" s="12">
        <f t="shared" si="7"/>
        <v>17.43</v>
      </c>
      <c r="K38" s="17">
        <f t="shared" si="8"/>
        <v>0.945</v>
      </c>
      <c r="L38" s="10">
        <f t="shared" si="9"/>
        <v>0.093</v>
      </c>
      <c r="M38" s="10">
        <f t="shared" si="10"/>
        <v>0.03100774379</v>
      </c>
      <c r="N38" s="18">
        <f t="shared" si="11"/>
        <v>3.28</v>
      </c>
      <c r="O38" s="9">
        <f t="shared" si="12"/>
        <v>55</v>
      </c>
      <c r="P38" s="9">
        <f t="shared" si="13"/>
        <v>67.27</v>
      </c>
    </row>
    <row r="39">
      <c r="A39" s="8">
        <v>38.0</v>
      </c>
      <c r="B39" s="15">
        <v>0.007</v>
      </c>
      <c r="C39" s="8">
        <v>0.303</v>
      </c>
      <c r="D39" s="9">
        <f t="shared" si="1"/>
        <v>94.41</v>
      </c>
      <c r="E39" s="16">
        <f t="shared" si="2"/>
        <v>0.96</v>
      </c>
      <c r="F39" s="10">
        <f t="shared" si="3"/>
        <v>2.026192463</v>
      </c>
      <c r="G39" s="11">
        <f t="shared" si="4"/>
        <v>78.18</v>
      </c>
      <c r="H39" s="10">
        <f t="shared" si="5"/>
        <v>40.18</v>
      </c>
      <c r="I39" s="10">
        <f t="shared" si="6"/>
        <v>13.21</v>
      </c>
      <c r="J39" s="12">
        <f t="shared" si="7"/>
        <v>16.897</v>
      </c>
      <c r="K39" s="17">
        <f t="shared" si="8"/>
        <v>0.945</v>
      </c>
      <c r="L39" s="10">
        <f t="shared" si="9"/>
        <v>0.091</v>
      </c>
      <c r="M39" s="10">
        <f t="shared" si="10"/>
        <v>0.0299109557</v>
      </c>
      <c r="N39" s="18">
        <f t="shared" si="11"/>
        <v>3.17</v>
      </c>
      <c r="O39" s="9">
        <f t="shared" si="12"/>
        <v>55</v>
      </c>
      <c r="P39" s="9">
        <f t="shared" si="13"/>
        <v>69.09</v>
      </c>
    </row>
    <row r="40">
      <c r="A40" s="8">
        <v>39.0</v>
      </c>
      <c r="B40" s="8">
        <v>0.001</v>
      </c>
      <c r="C40" s="8">
        <v>0.128</v>
      </c>
      <c r="D40" s="9">
        <f t="shared" si="1"/>
        <v>35.68</v>
      </c>
      <c r="E40" s="9">
        <f t="shared" si="2"/>
        <v>0.77</v>
      </c>
      <c r="F40" s="10">
        <f t="shared" si="3"/>
        <v>2.024394164</v>
      </c>
      <c r="G40" s="11">
        <f t="shared" si="4"/>
        <v>77.09</v>
      </c>
      <c r="H40" s="10">
        <f t="shared" si="5"/>
        <v>40.228</v>
      </c>
      <c r="I40" s="10">
        <f t="shared" si="6"/>
        <v>13.04</v>
      </c>
      <c r="J40" s="12">
        <f t="shared" si="7"/>
        <v>16.915</v>
      </c>
      <c r="K40" s="17">
        <f t="shared" si="8"/>
        <v>0.941</v>
      </c>
      <c r="L40" s="10">
        <f t="shared" si="9"/>
        <v>0.094</v>
      </c>
      <c r="M40" s="10">
        <f t="shared" si="10"/>
        <v>0.030471275</v>
      </c>
      <c r="N40" s="18">
        <f t="shared" si="11"/>
        <v>3.24</v>
      </c>
      <c r="O40" s="9">
        <f t="shared" si="12"/>
        <v>55</v>
      </c>
      <c r="P40" s="9">
        <f t="shared" si="13"/>
        <v>70.91</v>
      </c>
    </row>
    <row r="41">
      <c r="A41" s="8">
        <v>40.0</v>
      </c>
      <c r="B41" s="15">
        <v>0.004</v>
      </c>
      <c r="C41" s="8">
        <v>0.245</v>
      </c>
      <c r="D41" s="9">
        <f t="shared" si="1"/>
        <v>71.36</v>
      </c>
      <c r="E41" s="16">
        <f t="shared" si="2"/>
        <v>0.84</v>
      </c>
      <c r="F41" s="10">
        <f t="shared" si="3"/>
        <v>2.02269092</v>
      </c>
      <c r="G41" s="11">
        <f t="shared" si="4"/>
        <v>76.95</v>
      </c>
      <c r="H41" s="10">
        <f t="shared" si="5"/>
        <v>39.719</v>
      </c>
      <c r="I41" s="10">
        <f t="shared" si="6"/>
        <v>12.7</v>
      </c>
      <c r="J41" s="12">
        <f t="shared" si="7"/>
        <v>16.504</v>
      </c>
      <c r="K41" s="17">
        <f t="shared" si="8"/>
        <v>0.938</v>
      </c>
      <c r="L41" s="10">
        <f t="shared" si="9"/>
        <v>0.094</v>
      </c>
      <c r="M41" s="10">
        <f t="shared" si="10"/>
        <v>0.03006265846</v>
      </c>
      <c r="N41" s="18">
        <f t="shared" si="11"/>
        <v>3.2</v>
      </c>
      <c r="O41" s="9">
        <f t="shared" si="12"/>
        <v>55</v>
      </c>
      <c r="P41" s="9">
        <f t="shared" si="13"/>
        <v>72.73</v>
      </c>
    </row>
    <row r="42">
      <c r="A42" s="8">
        <v>41.0</v>
      </c>
      <c r="B42" s="15">
        <v>0.012</v>
      </c>
      <c r="C42" s="8">
        <v>0.398</v>
      </c>
      <c r="D42" s="9">
        <f t="shared" si="1"/>
        <v>123.61</v>
      </c>
      <c r="E42" s="16">
        <f t="shared" si="2"/>
        <v>0.95</v>
      </c>
      <c r="F42" s="10">
        <f t="shared" si="3"/>
        <v>2.02107539</v>
      </c>
      <c r="G42" s="11">
        <f t="shared" si="4"/>
        <v>78.08</v>
      </c>
      <c r="H42" s="10">
        <f t="shared" si="5"/>
        <v>39.891</v>
      </c>
      <c r="I42" s="10">
        <f t="shared" si="6"/>
        <v>12.59</v>
      </c>
      <c r="J42" s="12">
        <f t="shared" si="7"/>
        <v>16.124</v>
      </c>
      <c r="K42" s="17">
        <f t="shared" si="8"/>
        <v>0.939</v>
      </c>
      <c r="L42" s="10">
        <f t="shared" si="9"/>
        <v>0.093</v>
      </c>
      <c r="M42" s="10">
        <f t="shared" si="10"/>
        <v>0.02935442205</v>
      </c>
      <c r="N42" s="18">
        <f t="shared" si="11"/>
        <v>3.13</v>
      </c>
      <c r="O42" s="9">
        <f t="shared" si="12"/>
        <v>55</v>
      </c>
      <c r="P42" s="9">
        <f t="shared" si="13"/>
        <v>74.55</v>
      </c>
    </row>
    <row r="43">
      <c r="A43" s="8">
        <v>42.0</v>
      </c>
      <c r="B43" s="15">
        <v>3.31E-4</v>
      </c>
      <c r="C43" s="8">
        <v>0.064</v>
      </c>
      <c r="D43" s="9">
        <f t="shared" si="1"/>
        <v>20.53</v>
      </c>
      <c r="E43" s="16">
        <f t="shared" si="2"/>
        <v>1.02</v>
      </c>
      <c r="F43" s="10">
        <f t="shared" si="3"/>
        <v>2.01954097</v>
      </c>
      <c r="G43" s="11">
        <f t="shared" si="4"/>
        <v>76.71</v>
      </c>
      <c r="H43" s="10">
        <f t="shared" si="5"/>
        <v>40.39</v>
      </c>
      <c r="I43" s="10">
        <f t="shared" si="6"/>
        <v>12.59</v>
      </c>
      <c r="J43" s="12">
        <f t="shared" si="7"/>
        <v>16.412</v>
      </c>
      <c r="K43" s="17">
        <f t="shared" si="8"/>
        <v>0.94</v>
      </c>
      <c r="L43" s="10">
        <f t="shared" si="9"/>
        <v>0.093</v>
      </c>
      <c r="M43" s="10">
        <f t="shared" si="10"/>
        <v>0.02898084015</v>
      </c>
      <c r="N43" s="18">
        <f t="shared" si="11"/>
        <v>3.08</v>
      </c>
      <c r="O43" s="9">
        <f t="shared" si="12"/>
        <v>55</v>
      </c>
      <c r="P43" s="9">
        <f t="shared" si="13"/>
        <v>76.36</v>
      </c>
    </row>
    <row r="44">
      <c r="A44" s="8">
        <v>43.0</v>
      </c>
      <c r="B44" s="15">
        <v>0.008</v>
      </c>
      <c r="C44" s="8">
        <v>0.335</v>
      </c>
      <c r="D44" s="9">
        <f t="shared" si="1"/>
        <v>100.93</v>
      </c>
      <c r="E44" s="16">
        <f t="shared" si="2"/>
        <v>0.9</v>
      </c>
      <c r="F44" s="10">
        <f t="shared" si="3"/>
        <v>2.018081703</v>
      </c>
      <c r="G44" s="11">
        <f t="shared" si="4"/>
        <v>77.28</v>
      </c>
      <c r="H44" s="10">
        <f t="shared" si="5"/>
        <v>40.077</v>
      </c>
      <c r="I44" s="10">
        <f t="shared" si="6"/>
        <v>12.33</v>
      </c>
      <c r="J44" s="12">
        <f t="shared" si="7"/>
        <v>15.955</v>
      </c>
      <c r="K44" s="17">
        <f t="shared" si="8"/>
        <v>0.94</v>
      </c>
      <c r="L44" s="10">
        <f t="shared" si="9"/>
        <v>0.092</v>
      </c>
      <c r="M44" s="10">
        <f t="shared" si="10"/>
        <v>0.02831342085</v>
      </c>
      <c r="N44" s="18">
        <f t="shared" si="11"/>
        <v>3.01</v>
      </c>
      <c r="O44" s="9">
        <f t="shared" si="12"/>
        <v>55</v>
      </c>
      <c r="P44" s="9">
        <f t="shared" si="13"/>
        <v>78.18</v>
      </c>
    </row>
    <row r="45">
      <c r="A45" s="8">
        <v>44.0</v>
      </c>
      <c r="B45" s="8">
        <v>0.012</v>
      </c>
      <c r="C45" s="8">
        <v>0.411</v>
      </c>
      <c r="D45" s="9">
        <f t="shared" si="1"/>
        <v>123.61</v>
      </c>
      <c r="E45" s="9">
        <f t="shared" si="2"/>
        <v>0.89</v>
      </c>
      <c r="F45" s="10">
        <f t="shared" si="3"/>
        <v>2.016692199</v>
      </c>
      <c r="G45" s="11">
        <f t="shared" si="4"/>
        <v>78.33</v>
      </c>
      <c r="H45" s="10">
        <f t="shared" si="5"/>
        <v>40.219</v>
      </c>
      <c r="I45" s="10">
        <f t="shared" si="6"/>
        <v>12.23</v>
      </c>
      <c r="J45" s="12">
        <f t="shared" si="7"/>
        <v>15.613</v>
      </c>
      <c r="K45" s="17">
        <f t="shared" si="8"/>
        <v>0.938</v>
      </c>
      <c r="L45" s="10">
        <f t="shared" si="9"/>
        <v>0.091</v>
      </c>
      <c r="M45" s="10">
        <f t="shared" si="10"/>
        <v>0.02766652873</v>
      </c>
      <c r="N45" s="18">
        <f t="shared" si="11"/>
        <v>2.95</v>
      </c>
      <c r="O45" s="9">
        <f t="shared" si="12"/>
        <v>55</v>
      </c>
      <c r="P45" s="9">
        <f t="shared" si="13"/>
        <v>80</v>
      </c>
    </row>
    <row r="46">
      <c r="A46" s="8">
        <v>45.0</v>
      </c>
      <c r="B46" s="8">
        <v>0.014</v>
      </c>
      <c r="C46" s="8">
        <v>0.439</v>
      </c>
      <c r="D46" s="9">
        <f t="shared" si="1"/>
        <v>133.51</v>
      </c>
      <c r="E46" s="9">
        <f t="shared" si="2"/>
        <v>0.91</v>
      </c>
      <c r="F46" s="10">
        <f t="shared" si="3"/>
        <v>2.015367574</v>
      </c>
      <c r="G46" s="11">
        <f t="shared" si="4"/>
        <v>79.56</v>
      </c>
      <c r="H46" s="10">
        <f t="shared" si="5"/>
        <v>40.601</v>
      </c>
      <c r="I46" s="10">
        <f t="shared" si="6"/>
        <v>12.2</v>
      </c>
      <c r="J46" s="12">
        <f t="shared" si="7"/>
        <v>15.334</v>
      </c>
      <c r="K46" s="17">
        <f t="shared" si="8"/>
        <v>0.938</v>
      </c>
      <c r="L46" s="10">
        <f t="shared" si="9"/>
        <v>0.09</v>
      </c>
      <c r="M46" s="10">
        <f t="shared" si="10"/>
        <v>0.02703899338</v>
      </c>
      <c r="N46" s="18">
        <f t="shared" si="11"/>
        <v>2.88</v>
      </c>
      <c r="O46" s="9">
        <f t="shared" si="12"/>
        <v>55</v>
      </c>
      <c r="P46" s="9">
        <f t="shared" si="13"/>
        <v>81.82</v>
      </c>
    </row>
    <row r="47">
      <c r="A47" s="8">
        <v>46.0</v>
      </c>
      <c r="B47" s="15">
        <v>0.004</v>
      </c>
      <c r="C47" s="8">
        <v>0.234</v>
      </c>
      <c r="D47" s="9">
        <f t="shared" si="1"/>
        <v>71.36</v>
      </c>
      <c r="E47" s="16">
        <f t="shared" si="2"/>
        <v>0.92</v>
      </c>
      <c r="F47" s="10">
        <f t="shared" si="3"/>
        <v>2.014103389</v>
      </c>
      <c r="G47" s="11">
        <f t="shared" si="4"/>
        <v>79.38</v>
      </c>
      <c r="H47" s="10">
        <f t="shared" si="5"/>
        <v>40.166</v>
      </c>
      <c r="I47" s="10">
        <f t="shared" si="6"/>
        <v>11.93</v>
      </c>
      <c r="J47" s="12">
        <f t="shared" si="7"/>
        <v>15.029</v>
      </c>
      <c r="K47" s="17">
        <f t="shared" si="8"/>
        <v>0.937</v>
      </c>
      <c r="L47" s="10">
        <f t="shared" si="9"/>
        <v>0.089</v>
      </c>
      <c r="M47" s="10">
        <f t="shared" si="10"/>
        <v>0.02642973758</v>
      </c>
      <c r="N47" s="18">
        <f t="shared" si="11"/>
        <v>2.82</v>
      </c>
      <c r="O47" s="9">
        <f t="shared" si="12"/>
        <v>55</v>
      </c>
      <c r="P47" s="9">
        <f t="shared" si="13"/>
        <v>83.64</v>
      </c>
    </row>
    <row r="48">
      <c r="A48" s="8">
        <v>47.0</v>
      </c>
      <c r="B48" s="15">
        <v>0.009</v>
      </c>
      <c r="C48" s="8">
        <v>0.363</v>
      </c>
      <c r="D48" s="9">
        <f t="shared" si="1"/>
        <v>107.05</v>
      </c>
      <c r="E48" s="16">
        <f t="shared" si="2"/>
        <v>0.86</v>
      </c>
      <c r="F48" s="10">
        <f t="shared" si="3"/>
        <v>2.012895599</v>
      </c>
      <c r="G48" s="11">
        <f t="shared" si="4"/>
        <v>79.97</v>
      </c>
      <c r="H48" s="10">
        <f t="shared" si="5"/>
        <v>39.931</v>
      </c>
      <c r="I48" s="10">
        <f t="shared" si="6"/>
        <v>11.72</v>
      </c>
      <c r="J48" s="12">
        <f t="shared" si="7"/>
        <v>14.655</v>
      </c>
      <c r="K48" s="17">
        <f t="shared" si="8"/>
        <v>0.936</v>
      </c>
      <c r="L48" s="10">
        <f t="shared" si="9"/>
        <v>0.089</v>
      </c>
      <c r="M48" s="10">
        <f t="shared" si="10"/>
        <v>0.02613137895</v>
      </c>
      <c r="N48" s="18">
        <f t="shared" si="11"/>
        <v>2.79</v>
      </c>
      <c r="O48" s="9">
        <f t="shared" si="12"/>
        <v>55</v>
      </c>
      <c r="P48" s="9">
        <f t="shared" si="13"/>
        <v>85.45</v>
      </c>
    </row>
    <row r="49">
      <c r="A49" s="8">
        <v>48.0</v>
      </c>
      <c r="B49" s="8">
        <v>0.007</v>
      </c>
      <c r="C49" s="8">
        <v>0.304</v>
      </c>
      <c r="D49" s="9">
        <f t="shared" si="1"/>
        <v>94.41</v>
      </c>
      <c r="E49" s="9">
        <f t="shared" si="2"/>
        <v>0.95</v>
      </c>
      <c r="F49" s="10">
        <f t="shared" si="3"/>
        <v>2.011740514</v>
      </c>
      <c r="G49" s="11">
        <f t="shared" si="4"/>
        <v>80.27</v>
      </c>
      <c r="H49" s="10">
        <f t="shared" si="5"/>
        <v>39.559</v>
      </c>
      <c r="I49" s="10">
        <f t="shared" si="6"/>
        <v>11.49</v>
      </c>
      <c r="J49" s="12">
        <f t="shared" si="7"/>
        <v>14.314</v>
      </c>
      <c r="K49" s="17">
        <f t="shared" si="8"/>
        <v>0.936</v>
      </c>
      <c r="L49" s="10">
        <f t="shared" si="9"/>
        <v>0.088</v>
      </c>
      <c r="M49" s="10">
        <f t="shared" si="10"/>
        <v>0.0255525364</v>
      </c>
      <c r="N49" s="18">
        <f t="shared" si="11"/>
        <v>2.73</v>
      </c>
      <c r="O49" s="9">
        <f t="shared" si="12"/>
        <v>55</v>
      </c>
      <c r="P49" s="9">
        <f t="shared" si="13"/>
        <v>87.27</v>
      </c>
    </row>
    <row r="50">
      <c r="A50" s="8">
        <v>49.0</v>
      </c>
      <c r="B50" s="8">
        <v>0.005</v>
      </c>
      <c r="C50" s="8">
        <v>0.263</v>
      </c>
      <c r="D50" s="9">
        <f t="shared" si="1"/>
        <v>79.79</v>
      </c>
      <c r="E50" s="9">
        <f t="shared" si="2"/>
        <v>0.91</v>
      </c>
      <c r="F50" s="10">
        <f t="shared" si="3"/>
        <v>2.010634758</v>
      </c>
      <c r="G50" s="11">
        <f t="shared" si="4"/>
        <v>80.26</v>
      </c>
      <c r="H50" s="10">
        <f t="shared" si="5"/>
        <v>39.145</v>
      </c>
      <c r="I50" s="10">
        <f t="shared" si="6"/>
        <v>11.24</v>
      </c>
      <c r="J50" s="12">
        <f t="shared" si="7"/>
        <v>14.004</v>
      </c>
      <c r="K50" s="17">
        <f t="shared" si="8"/>
        <v>0.936</v>
      </c>
      <c r="L50" s="10">
        <f t="shared" si="9"/>
        <v>0.087</v>
      </c>
      <c r="M50" s="10">
        <f t="shared" si="10"/>
        <v>0.0249893177</v>
      </c>
      <c r="N50" s="18">
        <f t="shared" si="11"/>
        <v>2.67</v>
      </c>
      <c r="O50" s="9">
        <f t="shared" si="12"/>
        <v>55</v>
      </c>
      <c r="P50" s="9">
        <f t="shared" si="13"/>
        <v>89.09</v>
      </c>
    </row>
    <row r="51">
      <c r="A51" s="8">
        <v>50.0</v>
      </c>
      <c r="B51" s="15">
        <v>6.684E-4</v>
      </c>
      <c r="C51" s="8">
        <v>0.092</v>
      </c>
      <c r="D51" s="9">
        <f t="shared" si="1"/>
        <v>29.17</v>
      </c>
      <c r="E51" s="16">
        <f t="shared" si="2"/>
        <v>0.99</v>
      </c>
      <c r="F51" s="10">
        <f t="shared" si="3"/>
        <v>2.009575237</v>
      </c>
      <c r="G51" s="11">
        <f t="shared" si="4"/>
        <v>79.24</v>
      </c>
      <c r="H51" s="10">
        <f t="shared" si="5"/>
        <v>39.412</v>
      </c>
      <c r="I51" s="10">
        <f t="shared" si="6"/>
        <v>11.2</v>
      </c>
      <c r="J51" s="12">
        <f t="shared" si="7"/>
        <v>14.134</v>
      </c>
      <c r="K51" s="17">
        <f t="shared" si="8"/>
        <v>0.937</v>
      </c>
      <c r="L51" s="10">
        <f t="shared" si="9"/>
        <v>0.087</v>
      </c>
      <c r="M51" s="10">
        <f t="shared" si="10"/>
        <v>0.02472512643</v>
      </c>
      <c r="N51" s="18">
        <f t="shared" si="11"/>
        <v>2.64</v>
      </c>
      <c r="O51" s="9">
        <f t="shared" si="12"/>
        <v>55</v>
      </c>
      <c r="P51" s="9">
        <f t="shared" si="13"/>
        <v>90.91</v>
      </c>
    </row>
    <row r="52">
      <c r="A52" s="8">
        <v>51.0</v>
      </c>
      <c r="B52" s="15">
        <v>3.31E-4</v>
      </c>
      <c r="C52" s="8">
        <v>0.064</v>
      </c>
      <c r="D52" s="9">
        <f t="shared" si="1"/>
        <v>20.53</v>
      </c>
      <c r="E52" s="16">
        <f t="shared" si="2"/>
        <v>1.02</v>
      </c>
      <c r="F52" s="10">
        <f t="shared" si="3"/>
        <v>2.008559112</v>
      </c>
      <c r="G52" s="11">
        <f t="shared" si="4"/>
        <v>78.08</v>
      </c>
      <c r="H52" s="10">
        <f t="shared" si="5"/>
        <v>39.872</v>
      </c>
      <c r="I52" s="10">
        <f t="shared" si="6"/>
        <v>11.21</v>
      </c>
      <c r="J52" s="12">
        <f t="shared" si="7"/>
        <v>14.357</v>
      </c>
      <c r="K52" s="17">
        <f t="shared" si="8"/>
        <v>0.938</v>
      </c>
      <c r="L52" s="10">
        <f t="shared" si="9"/>
        <v>0.087</v>
      </c>
      <c r="M52" s="10">
        <f t="shared" si="10"/>
        <v>0.0244691443</v>
      </c>
      <c r="N52" s="18">
        <f t="shared" si="11"/>
        <v>2.61</v>
      </c>
      <c r="O52" s="9">
        <f t="shared" si="12"/>
        <v>55</v>
      </c>
      <c r="P52" s="9">
        <f t="shared" si="13"/>
        <v>92.73</v>
      </c>
    </row>
    <row r="53">
      <c r="A53" s="8">
        <v>52.0</v>
      </c>
      <c r="B53" s="8">
        <v>0.003</v>
      </c>
      <c r="C53" s="8">
        <v>0.215</v>
      </c>
      <c r="D53" s="9">
        <f t="shared" si="1"/>
        <v>61.8</v>
      </c>
      <c r="E53" s="9">
        <f t="shared" si="2"/>
        <v>0.82</v>
      </c>
      <c r="F53" s="10">
        <f t="shared" si="3"/>
        <v>2.00758377</v>
      </c>
      <c r="G53" s="11">
        <f t="shared" si="4"/>
        <v>77.77</v>
      </c>
      <c r="H53" s="10">
        <f t="shared" si="5"/>
        <v>39.544</v>
      </c>
      <c r="I53" s="10">
        <f t="shared" si="6"/>
        <v>11.01</v>
      </c>
      <c r="J53" s="12">
        <f t="shared" si="7"/>
        <v>14.157</v>
      </c>
      <c r="K53" s="17">
        <f t="shared" si="8"/>
        <v>0.936</v>
      </c>
      <c r="L53" s="10">
        <f t="shared" si="9"/>
        <v>0.087</v>
      </c>
      <c r="M53" s="10">
        <f t="shared" si="10"/>
        <v>0.02422095467</v>
      </c>
      <c r="N53" s="18">
        <f t="shared" si="11"/>
        <v>2.59</v>
      </c>
      <c r="O53" s="9">
        <f t="shared" si="12"/>
        <v>55</v>
      </c>
      <c r="P53" s="9">
        <f t="shared" si="13"/>
        <v>94.55</v>
      </c>
    </row>
    <row r="54">
      <c r="A54" s="8">
        <v>53.0</v>
      </c>
      <c r="B54" s="15">
        <v>0.005</v>
      </c>
      <c r="C54" s="8">
        <v>0.301</v>
      </c>
      <c r="D54" s="9">
        <f t="shared" si="1"/>
        <v>79.79</v>
      </c>
      <c r="E54" s="16">
        <f t="shared" si="2"/>
        <v>0.69</v>
      </c>
      <c r="F54" s="10">
        <f t="shared" si="3"/>
        <v>2.006646805</v>
      </c>
      <c r="G54" s="11">
        <f t="shared" si="4"/>
        <v>77.81</v>
      </c>
      <c r="H54" s="10">
        <f t="shared" si="5"/>
        <v>39.163</v>
      </c>
      <c r="I54" s="10">
        <f t="shared" si="6"/>
        <v>10.79</v>
      </c>
      <c r="J54" s="12">
        <f t="shared" si="7"/>
        <v>13.867</v>
      </c>
      <c r="K54" s="17">
        <f t="shared" si="8"/>
        <v>0.931</v>
      </c>
      <c r="L54" s="10">
        <f t="shared" si="9"/>
        <v>0.093</v>
      </c>
      <c r="M54" s="10">
        <f t="shared" si="10"/>
        <v>0.02563397472</v>
      </c>
      <c r="N54" s="18">
        <f t="shared" si="11"/>
        <v>2.75</v>
      </c>
      <c r="O54" s="9">
        <f t="shared" si="12"/>
        <v>55</v>
      </c>
      <c r="P54" s="9">
        <f t="shared" si="13"/>
        <v>96.36</v>
      </c>
    </row>
    <row r="55">
      <c r="A55" s="8">
        <v>54.0</v>
      </c>
      <c r="B55" s="8">
        <v>0.003</v>
      </c>
      <c r="C55" s="8">
        <v>0.22</v>
      </c>
      <c r="D55" s="9">
        <f t="shared" si="1"/>
        <v>61.8</v>
      </c>
      <c r="E55" s="9">
        <f t="shared" si="2"/>
        <v>0.78</v>
      </c>
      <c r="F55" s="10">
        <f t="shared" si="3"/>
        <v>2.005745995</v>
      </c>
      <c r="G55" s="11">
        <f t="shared" si="4"/>
        <v>77.51</v>
      </c>
      <c r="H55" s="10">
        <f t="shared" si="5"/>
        <v>38.853</v>
      </c>
      <c r="I55" s="10">
        <f t="shared" si="6"/>
        <v>10.6</v>
      </c>
      <c r="J55" s="12">
        <f t="shared" si="7"/>
        <v>13.676</v>
      </c>
      <c r="K55" s="17">
        <f t="shared" si="8"/>
        <v>0.929</v>
      </c>
      <c r="L55" s="10">
        <f t="shared" si="9"/>
        <v>0.094</v>
      </c>
      <c r="M55" s="10">
        <f t="shared" si="10"/>
        <v>0.02565706104</v>
      </c>
      <c r="N55" s="18">
        <f t="shared" si="11"/>
        <v>2.76</v>
      </c>
      <c r="O55" s="9">
        <f t="shared" si="12"/>
        <v>55</v>
      </c>
      <c r="P55" s="9">
        <f t="shared" si="13"/>
        <v>98.18</v>
      </c>
    </row>
    <row r="56">
      <c r="A56" s="8">
        <v>55.0</v>
      </c>
      <c r="B56" s="15">
        <v>3.31E-4</v>
      </c>
      <c r="C56" s="8">
        <v>0.064</v>
      </c>
      <c r="D56" s="9">
        <f t="shared" si="1"/>
        <v>20.53</v>
      </c>
      <c r="E56" s="16">
        <f t="shared" si="2"/>
        <v>1.02</v>
      </c>
      <c r="F56" s="10">
        <f t="shared" si="3"/>
        <v>2.004879288</v>
      </c>
      <c r="G56" s="11">
        <f t="shared" si="4"/>
        <v>76.48</v>
      </c>
      <c r="H56" s="10">
        <f t="shared" si="5"/>
        <v>39.251</v>
      </c>
      <c r="I56" s="10">
        <f t="shared" si="6"/>
        <v>10.61</v>
      </c>
      <c r="J56" s="12">
        <f t="shared" si="7"/>
        <v>13.873</v>
      </c>
      <c r="K56" s="17">
        <f t="shared" si="8"/>
        <v>0.93</v>
      </c>
      <c r="L56" s="10">
        <f t="shared" si="9"/>
        <v>0.094</v>
      </c>
      <c r="M56" s="10">
        <f t="shared" si="10"/>
        <v>0.0254117596</v>
      </c>
      <c r="N56" s="18">
        <f t="shared" si="11"/>
        <v>2.73</v>
      </c>
      <c r="O56" s="9">
        <f t="shared" si="12"/>
        <v>55</v>
      </c>
      <c r="P56" s="9">
        <f t="shared" si="13"/>
        <v>100</v>
      </c>
    </row>
    <row r="57">
      <c r="B57" s="15"/>
      <c r="D57" s="9"/>
      <c r="E57" s="9"/>
      <c r="F57" s="10"/>
      <c r="G57" s="11"/>
      <c r="H57" s="10"/>
      <c r="I57" s="10"/>
      <c r="J57" s="12"/>
      <c r="K57" s="13"/>
      <c r="L57" s="10"/>
      <c r="M57" s="10"/>
      <c r="N57" s="14"/>
      <c r="O57" s="9"/>
      <c r="P57" s="9"/>
    </row>
    <row r="58">
      <c r="D58" s="9"/>
      <c r="E58" s="9"/>
      <c r="F58" s="10"/>
      <c r="G58" s="11"/>
      <c r="H58" s="10"/>
      <c r="I58" s="10"/>
      <c r="J58" s="12"/>
      <c r="K58" s="13"/>
      <c r="L58" s="10"/>
      <c r="M58" s="10"/>
      <c r="N58" s="14"/>
      <c r="O58" s="9"/>
      <c r="P58" s="9"/>
    </row>
    <row r="59">
      <c r="B59" s="15"/>
      <c r="D59" s="9"/>
      <c r="E59" s="9"/>
      <c r="F59" s="10"/>
      <c r="G59" s="11"/>
      <c r="H59" s="10"/>
      <c r="I59" s="10"/>
      <c r="J59" s="12"/>
      <c r="K59" s="13"/>
      <c r="L59" s="10"/>
      <c r="M59" s="10"/>
      <c r="N59" s="14"/>
      <c r="O59" s="9"/>
      <c r="P59" s="9"/>
    </row>
    <row r="60">
      <c r="D60" s="9"/>
      <c r="E60" s="9"/>
      <c r="F60" s="10"/>
      <c r="G60" s="11"/>
      <c r="H60" s="10"/>
      <c r="I60" s="10"/>
      <c r="J60" s="12"/>
      <c r="K60" s="13"/>
      <c r="L60" s="10"/>
      <c r="M60" s="10"/>
      <c r="N60" s="14"/>
      <c r="O60" s="9"/>
      <c r="P60" s="9"/>
    </row>
    <row r="61">
      <c r="B61" s="15"/>
      <c r="D61" s="9"/>
      <c r="E61" s="9"/>
      <c r="F61" s="10"/>
      <c r="G61" s="11"/>
      <c r="H61" s="10"/>
      <c r="I61" s="10"/>
      <c r="J61" s="12"/>
      <c r="K61" s="13"/>
      <c r="L61" s="10"/>
      <c r="M61" s="10"/>
      <c r="N61" s="14"/>
      <c r="O61" s="9"/>
      <c r="P61" s="9"/>
    </row>
    <row r="62">
      <c r="B62" s="15"/>
      <c r="D62" s="9"/>
      <c r="E62" s="9"/>
      <c r="F62" s="10"/>
      <c r="G62" s="11"/>
      <c r="H62" s="10"/>
      <c r="I62" s="10"/>
      <c r="J62" s="12"/>
      <c r="K62" s="13"/>
      <c r="L62" s="10"/>
      <c r="M62" s="10"/>
      <c r="N62" s="14"/>
      <c r="O62" s="9"/>
      <c r="P62" s="9"/>
    </row>
    <row r="63">
      <c r="B63" s="15"/>
      <c r="D63" s="9"/>
      <c r="E63" s="9"/>
      <c r="F63" s="10"/>
      <c r="G63" s="11"/>
      <c r="H63" s="10"/>
      <c r="I63" s="10"/>
      <c r="J63" s="12"/>
      <c r="K63" s="13"/>
      <c r="L63" s="10"/>
      <c r="M63" s="10"/>
      <c r="N63" s="14"/>
      <c r="O63" s="9"/>
      <c r="P63" s="9"/>
    </row>
    <row r="64">
      <c r="B64" s="15"/>
      <c r="D64" s="9"/>
      <c r="E64" s="9"/>
      <c r="F64" s="10"/>
      <c r="G64" s="11"/>
      <c r="H64" s="10"/>
      <c r="I64" s="10"/>
      <c r="J64" s="12"/>
      <c r="K64" s="13"/>
      <c r="L64" s="10"/>
      <c r="M64" s="10"/>
      <c r="N64" s="14"/>
      <c r="O64" s="9"/>
      <c r="P64" s="9"/>
    </row>
    <row r="65">
      <c r="B65" s="15"/>
      <c r="D65" s="9"/>
      <c r="E65" s="9"/>
      <c r="F65" s="10"/>
      <c r="G65" s="11"/>
      <c r="H65" s="10"/>
      <c r="I65" s="10"/>
      <c r="J65" s="12"/>
      <c r="K65" s="13"/>
      <c r="L65" s="10"/>
      <c r="M65" s="10"/>
      <c r="N65" s="14"/>
      <c r="O65" s="9"/>
      <c r="P65" s="9"/>
    </row>
    <row r="66">
      <c r="B66" s="15"/>
      <c r="D66" s="9"/>
      <c r="E66" s="9"/>
      <c r="F66" s="10"/>
      <c r="G66" s="11"/>
      <c r="H66" s="10"/>
      <c r="I66" s="10"/>
      <c r="J66" s="12"/>
      <c r="K66" s="13"/>
      <c r="L66" s="10"/>
      <c r="M66" s="10"/>
      <c r="N66" s="14"/>
      <c r="O66" s="9"/>
      <c r="P66" s="9"/>
    </row>
    <row r="67">
      <c r="B67" s="15"/>
      <c r="D67" s="9"/>
      <c r="E67" s="9"/>
      <c r="F67" s="10"/>
      <c r="G67" s="11"/>
      <c r="H67" s="10"/>
      <c r="I67" s="10"/>
      <c r="J67" s="12"/>
      <c r="K67" s="13"/>
      <c r="L67" s="10"/>
      <c r="M67" s="10"/>
      <c r="N67" s="14"/>
      <c r="O67" s="9"/>
      <c r="P67" s="9"/>
    </row>
    <row r="68">
      <c r="D68" s="9"/>
      <c r="E68" s="9"/>
      <c r="F68" s="10"/>
      <c r="G68" s="11"/>
      <c r="H68" s="10"/>
      <c r="I68" s="10"/>
      <c r="J68" s="12"/>
      <c r="K68" s="13"/>
      <c r="L68" s="10"/>
      <c r="M68" s="10"/>
      <c r="N68" s="14"/>
      <c r="O68" s="9"/>
      <c r="P68" s="9"/>
    </row>
    <row r="69">
      <c r="B69" s="15"/>
      <c r="D69" s="9"/>
      <c r="E69" s="9"/>
      <c r="F69" s="10"/>
      <c r="G69" s="11"/>
      <c r="H69" s="10"/>
      <c r="I69" s="10"/>
      <c r="J69" s="12"/>
      <c r="K69" s="13"/>
      <c r="L69" s="10"/>
      <c r="M69" s="10"/>
      <c r="N69" s="14"/>
      <c r="O69" s="9"/>
      <c r="P69" s="9"/>
    </row>
    <row r="70">
      <c r="B70" s="15"/>
      <c r="D70" s="9"/>
      <c r="E70" s="9"/>
      <c r="F70" s="10"/>
      <c r="G70" s="11"/>
      <c r="H70" s="10"/>
      <c r="I70" s="10"/>
      <c r="J70" s="12"/>
      <c r="K70" s="13"/>
      <c r="L70" s="10"/>
      <c r="M70" s="10"/>
      <c r="N70" s="14"/>
      <c r="O70" s="9"/>
      <c r="P70" s="9"/>
    </row>
    <row r="71">
      <c r="B71" s="15"/>
      <c r="D71" s="9"/>
      <c r="E71" s="9"/>
      <c r="F71" s="10"/>
      <c r="G71" s="11"/>
      <c r="H71" s="10"/>
      <c r="I71" s="10"/>
      <c r="J71" s="12"/>
      <c r="K71" s="13"/>
      <c r="L71" s="10"/>
      <c r="M71" s="10"/>
      <c r="N71" s="14"/>
      <c r="O71" s="9"/>
      <c r="P71" s="9"/>
    </row>
    <row r="72">
      <c r="B72" s="15"/>
      <c r="D72" s="9"/>
      <c r="E72" s="9"/>
      <c r="F72" s="10"/>
      <c r="G72" s="11"/>
      <c r="H72" s="10"/>
      <c r="I72" s="10"/>
      <c r="J72" s="12"/>
      <c r="K72" s="13"/>
      <c r="L72" s="10"/>
      <c r="M72" s="10"/>
      <c r="N72" s="14"/>
      <c r="O72" s="9"/>
      <c r="P72" s="9"/>
    </row>
    <row r="73">
      <c r="B73" s="15"/>
      <c r="D73" s="9"/>
      <c r="E73" s="9"/>
      <c r="F73" s="10"/>
      <c r="G73" s="11"/>
      <c r="H73" s="10"/>
      <c r="I73" s="10"/>
      <c r="J73" s="12"/>
      <c r="K73" s="13"/>
      <c r="L73" s="10"/>
      <c r="M73" s="10"/>
      <c r="N73" s="14"/>
      <c r="O73" s="9"/>
      <c r="P73" s="9"/>
    </row>
    <row r="74">
      <c r="B74" s="15"/>
      <c r="D74" s="9"/>
      <c r="E74" s="9"/>
      <c r="F74" s="10"/>
      <c r="G74" s="11"/>
      <c r="H74" s="10"/>
      <c r="I74" s="10"/>
      <c r="J74" s="12"/>
      <c r="K74" s="13"/>
      <c r="L74" s="10"/>
      <c r="M74" s="10"/>
      <c r="N74" s="14"/>
      <c r="O74" s="9"/>
      <c r="P74" s="9"/>
    </row>
    <row r="75">
      <c r="B75" s="15"/>
      <c r="D75" s="9"/>
      <c r="E75" s="9"/>
      <c r="F75" s="10"/>
      <c r="G75" s="11"/>
      <c r="H75" s="10"/>
      <c r="I75" s="10"/>
      <c r="J75" s="12"/>
      <c r="K75" s="13"/>
      <c r="L75" s="10"/>
      <c r="M75" s="10"/>
      <c r="N75" s="14"/>
      <c r="O75" s="9"/>
      <c r="P75" s="9"/>
    </row>
    <row r="76">
      <c r="D76" s="9"/>
      <c r="E76" s="9"/>
      <c r="F76" s="10"/>
      <c r="G76" s="11"/>
      <c r="H76" s="10"/>
      <c r="I76" s="10"/>
      <c r="J76" s="12"/>
      <c r="K76" s="13"/>
      <c r="L76" s="10"/>
      <c r="M76" s="10"/>
      <c r="N76" s="14"/>
      <c r="O76" s="9"/>
      <c r="P76" s="9"/>
    </row>
    <row r="77">
      <c r="B77" s="15"/>
      <c r="D77" s="9"/>
      <c r="E77" s="9"/>
      <c r="F77" s="10"/>
      <c r="G77" s="11"/>
      <c r="H77" s="10"/>
      <c r="I77" s="10"/>
      <c r="J77" s="12"/>
      <c r="K77" s="13"/>
      <c r="L77" s="10"/>
      <c r="M77" s="10"/>
      <c r="N77" s="14"/>
      <c r="O77" s="9"/>
      <c r="P77" s="9"/>
    </row>
    <row r="78">
      <c r="B78" s="15"/>
      <c r="D78" s="9"/>
      <c r="E78" s="9"/>
      <c r="F78" s="10"/>
      <c r="G78" s="11"/>
      <c r="H78" s="10"/>
      <c r="I78" s="10"/>
      <c r="J78" s="12"/>
      <c r="K78" s="13"/>
      <c r="L78" s="10"/>
      <c r="M78" s="10"/>
      <c r="N78" s="14"/>
      <c r="O78" s="9"/>
      <c r="P78" s="9"/>
    </row>
    <row r="79">
      <c r="D79" s="9"/>
      <c r="E79" s="9"/>
      <c r="F79" s="10"/>
      <c r="G79" s="11"/>
      <c r="H79" s="10"/>
      <c r="I79" s="10"/>
      <c r="J79" s="12"/>
      <c r="K79" s="13"/>
      <c r="L79" s="10"/>
      <c r="M79" s="10"/>
      <c r="N79" s="14"/>
      <c r="O79" s="9"/>
      <c r="P79" s="9"/>
    </row>
    <row r="80">
      <c r="B80" s="15"/>
      <c r="D80" s="9"/>
      <c r="E80" s="9"/>
      <c r="F80" s="10"/>
      <c r="G80" s="11"/>
      <c r="H80" s="10"/>
      <c r="I80" s="10"/>
      <c r="J80" s="12"/>
      <c r="K80" s="13"/>
      <c r="L80" s="10"/>
      <c r="M80" s="10"/>
      <c r="N80" s="14"/>
      <c r="O80" s="9"/>
      <c r="P80" s="9"/>
    </row>
    <row r="81">
      <c r="D81" s="9"/>
      <c r="E81" s="9"/>
      <c r="F81" s="10"/>
      <c r="G81" s="11"/>
      <c r="H81" s="10"/>
      <c r="I81" s="10"/>
      <c r="J81" s="12"/>
      <c r="K81" s="13"/>
      <c r="L81" s="10"/>
      <c r="M81" s="10"/>
      <c r="N81" s="14"/>
      <c r="O81" s="9"/>
      <c r="P81" s="9"/>
    </row>
    <row r="82">
      <c r="D82" s="9"/>
      <c r="E82" s="9"/>
      <c r="F82" s="10"/>
      <c r="G82" s="11"/>
      <c r="H82" s="10"/>
      <c r="I82" s="10"/>
      <c r="J82" s="12"/>
      <c r="K82" s="13"/>
      <c r="L82" s="10"/>
      <c r="M82" s="10"/>
      <c r="N82" s="14"/>
      <c r="O82" s="9"/>
      <c r="P82" s="9"/>
    </row>
    <row r="83">
      <c r="B83" s="15"/>
      <c r="D83" s="9"/>
      <c r="E83" s="9"/>
      <c r="F83" s="10"/>
      <c r="G83" s="11"/>
      <c r="H83" s="10"/>
      <c r="I83" s="10"/>
      <c r="J83" s="12"/>
      <c r="K83" s="13"/>
      <c r="L83" s="10"/>
      <c r="M83" s="10"/>
      <c r="N83" s="14"/>
      <c r="O83" s="9"/>
      <c r="P83" s="9"/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15">
        <v>0.017</v>
      </c>
      <c r="C2" s="8">
        <v>0.72</v>
      </c>
      <c r="D2" s="9">
        <f t="shared" ref="D2:D67" si="1">ROUND(2*SQRT(B2/PI())*1000,2)</f>
        <v>147.12</v>
      </c>
      <c r="E2" s="16">
        <f t="shared" ref="E2:E67" si="2">ROUND(4*PI()*B2/C2/C2,2)</f>
        <v>0.41</v>
      </c>
      <c r="F2" s="10" t="str">
        <f t="shared" ref="F2:F67" si="3">_xlfn.T.INV(1-0.5*0.05,A2-1)</f>
        <v>#NUM!</v>
      </c>
      <c r="G2" s="11">
        <f t="shared" ref="G2:G67" si="4">ROUND(AVERAGE(D$2:D2),2)</f>
        <v>147.12</v>
      </c>
      <c r="H2" s="10" t="str">
        <f t="shared" ref="H2:H67" si="5">ROUND(_xlfn.STDEV.S(D$2:D2),3)</f>
        <v>#DIV/0!</v>
      </c>
      <c r="I2" s="10" t="str">
        <f t="shared" ref="I2:I67" si="6">ROUND(H2*F2/SQRT(A2),2)</f>
        <v>#DIV/0!</v>
      </c>
      <c r="J2" s="12" t="str">
        <f t="shared" ref="J2:J67" si="7">ROUND(100*I2/G2,3)</f>
        <v>#DIV/0!</v>
      </c>
      <c r="K2" s="17">
        <f t="shared" ref="K2:K67" si="8">ROUND(AVERAGE(E$2:E2),3)</f>
        <v>0.41</v>
      </c>
      <c r="L2" s="10" t="str">
        <f t="shared" ref="L2:L67" si="9">ROUND(_xlfn.STDEV.S(E$2:E2),3)</f>
        <v>#DIV/0!</v>
      </c>
      <c r="M2" s="10" t="str">
        <f t="shared" ref="M2:M67" si="10">L2*F2/SQRT(A2)</f>
        <v>#DIV/0!</v>
      </c>
      <c r="N2" s="14" t="str">
        <f t="shared" ref="N2:N67" si="11">ROUND(M2*100/K2,2)</f>
        <v>#DIV/0!</v>
      </c>
      <c r="O2" s="9">
        <f t="shared" ref="O2:O67" si="12">COUNT(A:A)</f>
        <v>66</v>
      </c>
      <c r="P2" s="9">
        <f t="shared" ref="P2:P67" si="13">ROUND(A2*100/O2,2)</f>
        <v>1.52</v>
      </c>
    </row>
    <row r="3">
      <c r="A3" s="8">
        <v>2.0</v>
      </c>
      <c r="B3" s="15">
        <v>0.002</v>
      </c>
      <c r="C3" s="8">
        <v>0.184</v>
      </c>
      <c r="D3" s="9">
        <f t="shared" si="1"/>
        <v>50.46</v>
      </c>
      <c r="E3" s="16">
        <f t="shared" si="2"/>
        <v>0.74</v>
      </c>
      <c r="F3" s="10">
        <f t="shared" si="3"/>
        <v>12.70620474</v>
      </c>
      <c r="G3" s="11">
        <f t="shared" si="4"/>
        <v>98.79</v>
      </c>
      <c r="H3" s="10">
        <f t="shared" si="5"/>
        <v>68.349</v>
      </c>
      <c r="I3" s="10">
        <f t="shared" si="6"/>
        <v>614.09</v>
      </c>
      <c r="J3" s="12">
        <f t="shared" si="7"/>
        <v>621.611</v>
      </c>
      <c r="K3" s="17">
        <f t="shared" si="8"/>
        <v>0.575</v>
      </c>
      <c r="L3" s="10">
        <f t="shared" si="9"/>
        <v>0.233</v>
      </c>
      <c r="M3" s="10">
        <f t="shared" si="10"/>
        <v>2.093421943</v>
      </c>
      <c r="N3" s="18">
        <f t="shared" si="11"/>
        <v>364.07</v>
      </c>
      <c r="O3" s="9">
        <f t="shared" si="12"/>
        <v>66</v>
      </c>
      <c r="P3" s="9">
        <f t="shared" si="13"/>
        <v>3.03</v>
      </c>
    </row>
    <row r="4">
      <c r="A4" s="8">
        <v>3.0</v>
      </c>
      <c r="B4" s="15">
        <v>0.003</v>
      </c>
      <c r="C4" s="8">
        <v>0.22</v>
      </c>
      <c r="D4" s="9">
        <f t="shared" si="1"/>
        <v>61.8</v>
      </c>
      <c r="E4" s="16">
        <f t="shared" si="2"/>
        <v>0.78</v>
      </c>
      <c r="F4" s="10">
        <f t="shared" si="3"/>
        <v>4.30265273</v>
      </c>
      <c r="G4" s="11">
        <f t="shared" si="4"/>
        <v>86.46</v>
      </c>
      <c r="H4" s="10">
        <f t="shared" si="5"/>
        <v>52.838</v>
      </c>
      <c r="I4" s="10">
        <f t="shared" si="6"/>
        <v>131.26</v>
      </c>
      <c r="J4" s="12">
        <f t="shared" si="7"/>
        <v>151.816</v>
      </c>
      <c r="K4" s="17">
        <f t="shared" si="8"/>
        <v>0.643</v>
      </c>
      <c r="L4" s="10">
        <f t="shared" si="9"/>
        <v>0.203</v>
      </c>
      <c r="M4" s="10">
        <f t="shared" si="10"/>
        <v>0.5042799555</v>
      </c>
      <c r="N4" s="18">
        <f t="shared" si="11"/>
        <v>78.43</v>
      </c>
      <c r="O4" s="9">
        <f t="shared" si="12"/>
        <v>66</v>
      </c>
      <c r="P4" s="9">
        <f t="shared" si="13"/>
        <v>4.55</v>
      </c>
    </row>
    <row r="5">
      <c r="A5" s="8">
        <v>4.0</v>
      </c>
      <c r="B5" s="15">
        <v>0.004</v>
      </c>
      <c r="C5" s="8">
        <v>0.233</v>
      </c>
      <c r="D5" s="9">
        <f t="shared" si="1"/>
        <v>71.36</v>
      </c>
      <c r="E5" s="16">
        <f t="shared" si="2"/>
        <v>0.93</v>
      </c>
      <c r="F5" s="10">
        <f t="shared" si="3"/>
        <v>3.182446305</v>
      </c>
      <c r="G5" s="11">
        <f t="shared" si="4"/>
        <v>82.69</v>
      </c>
      <c r="H5" s="10">
        <f t="shared" si="5"/>
        <v>43.798</v>
      </c>
      <c r="I5" s="10">
        <f t="shared" si="6"/>
        <v>69.69</v>
      </c>
      <c r="J5" s="12">
        <f t="shared" si="7"/>
        <v>84.279</v>
      </c>
      <c r="K5" s="17">
        <f t="shared" si="8"/>
        <v>0.715</v>
      </c>
      <c r="L5" s="10">
        <f t="shared" si="9"/>
        <v>0.219</v>
      </c>
      <c r="M5" s="10">
        <f t="shared" si="10"/>
        <v>0.3484778704</v>
      </c>
      <c r="N5" s="18">
        <f t="shared" si="11"/>
        <v>48.74</v>
      </c>
      <c r="O5" s="9">
        <f t="shared" si="12"/>
        <v>66</v>
      </c>
      <c r="P5" s="9">
        <f t="shared" si="13"/>
        <v>6.06</v>
      </c>
    </row>
    <row r="6">
      <c r="A6" s="8">
        <v>5.0</v>
      </c>
      <c r="B6" s="15">
        <v>0.003</v>
      </c>
      <c r="C6" s="8">
        <v>0.212</v>
      </c>
      <c r="D6" s="9">
        <f t="shared" si="1"/>
        <v>61.8</v>
      </c>
      <c r="E6" s="16">
        <f t="shared" si="2"/>
        <v>0.84</v>
      </c>
      <c r="F6" s="10">
        <f t="shared" si="3"/>
        <v>2.776445105</v>
      </c>
      <c r="G6" s="11">
        <f t="shared" si="4"/>
        <v>78.51</v>
      </c>
      <c r="H6" s="10">
        <f t="shared" si="5"/>
        <v>39.063</v>
      </c>
      <c r="I6" s="10">
        <f t="shared" si="6"/>
        <v>48.5</v>
      </c>
      <c r="J6" s="12">
        <f t="shared" si="7"/>
        <v>61.776</v>
      </c>
      <c r="K6" s="17">
        <f t="shared" si="8"/>
        <v>0.74</v>
      </c>
      <c r="L6" s="10">
        <f t="shared" si="9"/>
        <v>0.198</v>
      </c>
      <c r="M6" s="10">
        <f t="shared" si="10"/>
        <v>0.2458494716</v>
      </c>
      <c r="N6" s="18">
        <f t="shared" si="11"/>
        <v>33.22</v>
      </c>
      <c r="O6" s="9">
        <f t="shared" si="12"/>
        <v>66</v>
      </c>
      <c r="P6" s="9">
        <f t="shared" si="13"/>
        <v>7.58</v>
      </c>
    </row>
    <row r="7">
      <c r="A7" s="8">
        <v>6.0</v>
      </c>
      <c r="B7" s="15">
        <v>3.183E-4</v>
      </c>
      <c r="C7" s="8">
        <v>0.062</v>
      </c>
      <c r="D7" s="9">
        <f t="shared" si="1"/>
        <v>20.13</v>
      </c>
      <c r="E7" s="16">
        <f t="shared" si="2"/>
        <v>1.04</v>
      </c>
      <c r="F7" s="10">
        <f t="shared" si="3"/>
        <v>2.570581836</v>
      </c>
      <c r="G7" s="11">
        <f t="shared" si="4"/>
        <v>68.78</v>
      </c>
      <c r="H7" s="10">
        <f t="shared" si="5"/>
        <v>42.293</v>
      </c>
      <c r="I7" s="10">
        <f t="shared" si="6"/>
        <v>44.38</v>
      </c>
      <c r="J7" s="12">
        <f t="shared" si="7"/>
        <v>64.525</v>
      </c>
      <c r="K7" s="17">
        <f t="shared" si="8"/>
        <v>0.79</v>
      </c>
      <c r="L7" s="10">
        <f t="shared" si="9"/>
        <v>0.215</v>
      </c>
      <c r="M7" s="10">
        <f t="shared" si="10"/>
        <v>0.2256286626</v>
      </c>
      <c r="N7" s="18">
        <f t="shared" si="11"/>
        <v>28.56</v>
      </c>
      <c r="O7" s="9">
        <f t="shared" si="12"/>
        <v>66</v>
      </c>
      <c r="P7" s="9">
        <f t="shared" si="13"/>
        <v>9.09</v>
      </c>
    </row>
    <row r="8">
      <c r="A8" s="8">
        <v>7.0</v>
      </c>
      <c r="B8" s="15">
        <v>0.005</v>
      </c>
      <c r="C8" s="8">
        <v>0.267</v>
      </c>
      <c r="D8" s="9">
        <f t="shared" si="1"/>
        <v>79.79</v>
      </c>
      <c r="E8" s="16">
        <f t="shared" si="2"/>
        <v>0.88</v>
      </c>
      <c r="F8" s="10">
        <f t="shared" si="3"/>
        <v>2.446911851</v>
      </c>
      <c r="G8" s="11">
        <f t="shared" si="4"/>
        <v>70.35</v>
      </c>
      <c r="H8" s="10">
        <f t="shared" si="5"/>
        <v>38.832</v>
      </c>
      <c r="I8" s="10">
        <f t="shared" si="6"/>
        <v>35.91</v>
      </c>
      <c r="J8" s="12">
        <f t="shared" si="7"/>
        <v>51.045</v>
      </c>
      <c r="K8" s="17">
        <f t="shared" si="8"/>
        <v>0.803</v>
      </c>
      <c r="L8" s="10">
        <f t="shared" si="9"/>
        <v>0.199</v>
      </c>
      <c r="M8" s="10">
        <f t="shared" si="10"/>
        <v>0.1840443039</v>
      </c>
      <c r="N8" s="18">
        <f t="shared" si="11"/>
        <v>22.92</v>
      </c>
      <c r="O8" s="9">
        <f t="shared" si="12"/>
        <v>66</v>
      </c>
      <c r="P8" s="9">
        <f t="shared" si="13"/>
        <v>10.61</v>
      </c>
    </row>
    <row r="9">
      <c r="A9" s="8">
        <v>8.0</v>
      </c>
      <c r="B9" s="15">
        <v>5.729E-5</v>
      </c>
      <c r="C9" s="8">
        <v>0.024</v>
      </c>
      <c r="D9" s="9">
        <f t="shared" si="1"/>
        <v>8.54</v>
      </c>
      <c r="E9" s="16">
        <f t="shared" si="2"/>
        <v>1.25</v>
      </c>
      <c r="F9" s="10">
        <f t="shared" si="3"/>
        <v>2.364624252</v>
      </c>
      <c r="G9" s="11">
        <f t="shared" si="4"/>
        <v>62.63</v>
      </c>
      <c r="H9" s="10">
        <f t="shared" si="5"/>
        <v>42.073</v>
      </c>
      <c r="I9" s="10">
        <f t="shared" si="6"/>
        <v>35.17</v>
      </c>
      <c r="J9" s="12">
        <f t="shared" si="7"/>
        <v>56.155</v>
      </c>
      <c r="K9" s="17">
        <f t="shared" si="8"/>
        <v>0.859</v>
      </c>
      <c r="L9" s="10">
        <f t="shared" si="9"/>
        <v>0.243</v>
      </c>
      <c r="M9" s="10">
        <f t="shared" si="10"/>
        <v>0.203153084</v>
      </c>
      <c r="N9" s="18">
        <f t="shared" si="11"/>
        <v>23.65</v>
      </c>
      <c r="O9" s="9">
        <f t="shared" si="12"/>
        <v>66</v>
      </c>
      <c r="P9" s="9">
        <f t="shared" si="13"/>
        <v>12.12</v>
      </c>
    </row>
    <row r="10">
      <c r="A10" s="8">
        <v>9.0</v>
      </c>
      <c r="B10" s="15">
        <v>0.005</v>
      </c>
      <c r="C10" s="8">
        <v>0.251</v>
      </c>
      <c r="D10" s="9">
        <f t="shared" si="1"/>
        <v>79.79</v>
      </c>
      <c r="E10" s="16">
        <f t="shared" si="2"/>
        <v>1</v>
      </c>
      <c r="F10" s="10">
        <f t="shared" si="3"/>
        <v>2.306004135</v>
      </c>
      <c r="G10" s="11">
        <f t="shared" si="4"/>
        <v>64.53</v>
      </c>
      <c r="H10" s="10">
        <f t="shared" si="5"/>
        <v>39.769</v>
      </c>
      <c r="I10" s="10">
        <f t="shared" si="6"/>
        <v>30.57</v>
      </c>
      <c r="J10" s="12">
        <f t="shared" si="7"/>
        <v>47.373</v>
      </c>
      <c r="K10" s="17">
        <f t="shared" si="8"/>
        <v>0.874</v>
      </c>
      <c r="L10" s="10">
        <f t="shared" si="9"/>
        <v>0.232</v>
      </c>
      <c r="M10" s="10">
        <f t="shared" si="10"/>
        <v>0.1783309865</v>
      </c>
      <c r="N10" s="18">
        <f t="shared" si="11"/>
        <v>20.4</v>
      </c>
      <c r="O10" s="9">
        <f t="shared" si="12"/>
        <v>66</v>
      </c>
      <c r="P10" s="9">
        <f t="shared" si="13"/>
        <v>13.64</v>
      </c>
    </row>
    <row r="11">
      <c r="A11" s="8">
        <v>10.0</v>
      </c>
      <c r="B11" s="15">
        <v>0.229</v>
      </c>
      <c r="C11" s="8">
        <v>2.236</v>
      </c>
      <c r="D11" s="9">
        <f t="shared" si="1"/>
        <v>539.97</v>
      </c>
      <c r="E11" s="16">
        <f t="shared" si="2"/>
        <v>0.58</v>
      </c>
      <c r="F11" s="10">
        <f t="shared" si="3"/>
        <v>2.262157163</v>
      </c>
      <c r="G11" s="11">
        <f t="shared" si="4"/>
        <v>112.08</v>
      </c>
      <c r="H11" s="10">
        <f t="shared" si="5"/>
        <v>154.951</v>
      </c>
      <c r="I11" s="10">
        <f t="shared" si="6"/>
        <v>110.85</v>
      </c>
      <c r="J11" s="12">
        <f t="shared" si="7"/>
        <v>98.903</v>
      </c>
      <c r="K11" s="17">
        <f t="shared" si="8"/>
        <v>0.845</v>
      </c>
      <c r="L11" s="10">
        <f t="shared" si="9"/>
        <v>0.238</v>
      </c>
      <c r="M11" s="10">
        <f t="shared" si="10"/>
        <v>0.1702549436</v>
      </c>
      <c r="N11" s="18">
        <f t="shared" si="11"/>
        <v>20.15</v>
      </c>
      <c r="O11" s="9">
        <f t="shared" si="12"/>
        <v>66</v>
      </c>
      <c r="P11" s="9">
        <f t="shared" si="13"/>
        <v>15.15</v>
      </c>
    </row>
    <row r="12">
      <c r="A12" s="8">
        <v>11.0</v>
      </c>
      <c r="B12" s="15">
        <v>0.004</v>
      </c>
      <c r="C12" s="8">
        <v>0.24</v>
      </c>
      <c r="D12" s="9">
        <f t="shared" si="1"/>
        <v>71.36</v>
      </c>
      <c r="E12" s="16">
        <f t="shared" si="2"/>
        <v>0.87</v>
      </c>
      <c r="F12" s="10">
        <f t="shared" si="3"/>
        <v>2.228138852</v>
      </c>
      <c r="G12" s="11">
        <f t="shared" si="4"/>
        <v>108.37</v>
      </c>
      <c r="H12" s="10">
        <f t="shared" si="5"/>
        <v>147.512</v>
      </c>
      <c r="I12" s="10">
        <f t="shared" si="6"/>
        <v>99.1</v>
      </c>
      <c r="J12" s="12">
        <f t="shared" si="7"/>
        <v>91.446</v>
      </c>
      <c r="K12" s="17">
        <f t="shared" si="8"/>
        <v>0.847</v>
      </c>
      <c r="L12" s="10">
        <f t="shared" si="9"/>
        <v>0.226</v>
      </c>
      <c r="M12" s="10">
        <f t="shared" si="10"/>
        <v>0.1518288659</v>
      </c>
      <c r="N12" s="18">
        <f t="shared" si="11"/>
        <v>17.93</v>
      </c>
      <c r="O12" s="9">
        <f t="shared" si="12"/>
        <v>66</v>
      </c>
      <c r="P12" s="9">
        <f t="shared" si="13"/>
        <v>16.67</v>
      </c>
    </row>
    <row r="13">
      <c r="A13" s="8">
        <v>12.0</v>
      </c>
      <c r="B13" s="15">
        <v>0.001</v>
      </c>
      <c r="C13" s="8">
        <v>0.13</v>
      </c>
      <c r="D13" s="9">
        <f t="shared" si="1"/>
        <v>35.68</v>
      </c>
      <c r="E13" s="16">
        <f t="shared" si="2"/>
        <v>0.74</v>
      </c>
      <c r="F13" s="10">
        <f t="shared" si="3"/>
        <v>2.20098516</v>
      </c>
      <c r="G13" s="11">
        <f t="shared" si="4"/>
        <v>102.32</v>
      </c>
      <c r="H13" s="10">
        <f t="shared" si="5"/>
        <v>142.204</v>
      </c>
      <c r="I13" s="10">
        <f t="shared" si="6"/>
        <v>90.35</v>
      </c>
      <c r="J13" s="12">
        <f t="shared" si="7"/>
        <v>88.301</v>
      </c>
      <c r="K13" s="17">
        <f t="shared" si="8"/>
        <v>0.838</v>
      </c>
      <c r="L13" s="10">
        <f t="shared" si="9"/>
        <v>0.217</v>
      </c>
      <c r="M13" s="10">
        <f t="shared" si="10"/>
        <v>0.1378752222</v>
      </c>
      <c r="N13" s="18">
        <f t="shared" si="11"/>
        <v>16.45</v>
      </c>
      <c r="O13" s="9">
        <f t="shared" si="12"/>
        <v>66</v>
      </c>
      <c r="P13" s="9">
        <f t="shared" si="13"/>
        <v>18.18</v>
      </c>
    </row>
    <row r="14">
      <c r="A14" s="8">
        <v>13.0</v>
      </c>
      <c r="B14" s="15">
        <v>9.548E-4</v>
      </c>
      <c r="C14" s="8">
        <v>0.112</v>
      </c>
      <c r="D14" s="9">
        <f t="shared" si="1"/>
        <v>34.87</v>
      </c>
      <c r="E14" s="16">
        <f t="shared" si="2"/>
        <v>0.96</v>
      </c>
      <c r="F14" s="10">
        <f t="shared" si="3"/>
        <v>2.17881283</v>
      </c>
      <c r="G14" s="11">
        <f t="shared" si="4"/>
        <v>97.13</v>
      </c>
      <c r="H14" s="10">
        <f t="shared" si="5"/>
        <v>137.429</v>
      </c>
      <c r="I14" s="10">
        <f t="shared" si="6"/>
        <v>83.05</v>
      </c>
      <c r="J14" s="12">
        <f t="shared" si="7"/>
        <v>85.504</v>
      </c>
      <c r="K14" s="17">
        <f t="shared" si="8"/>
        <v>0.848</v>
      </c>
      <c r="L14" s="10">
        <f t="shared" si="9"/>
        <v>0.211</v>
      </c>
      <c r="M14" s="10">
        <f t="shared" si="10"/>
        <v>0.1275060239</v>
      </c>
      <c r="N14" s="18">
        <f t="shared" si="11"/>
        <v>15.04</v>
      </c>
      <c r="O14" s="9">
        <f t="shared" si="12"/>
        <v>66</v>
      </c>
      <c r="P14" s="9">
        <f t="shared" si="13"/>
        <v>19.7</v>
      </c>
    </row>
    <row r="15">
      <c r="A15" s="8">
        <v>14.0</v>
      </c>
      <c r="B15" s="15">
        <v>6.302E-4</v>
      </c>
      <c r="C15" s="8">
        <v>0.09</v>
      </c>
      <c r="D15" s="9">
        <f t="shared" si="1"/>
        <v>28.33</v>
      </c>
      <c r="E15" s="16">
        <f t="shared" si="2"/>
        <v>0.98</v>
      </c>
      <c r="F15" s="10">
        <f t="shared" si="3"/>
        <v>2.160368656</v>
      </c>
      <c r="G15" s="11">
        <f t="shared" si="4"/>
        <v>92.21</v>
      </c>
      <c r="H15" s="10">
        <f t="shared" si="5"/>
        <v>133.311</v>
      </c>
      <c r="I15" s="10">
        <f t="shared" si="6"/>
        <v>76.97</v>
      </c>
      <c r="J15" s="12">
        <f t="shared" si="7"/>
        <v>83.473</v>
      </c>
      <c r="K15" s="17">
        <f t="shared" si="8"/>
        <v>0.857</v>
      </c>
      <c r="L15" s="10">
        <f t="shared" si="9"/>
        <v>0.206</v>
      </c>
      <c r="M15" s="10">
        <f t="shared" si="10"/>
        <v>0.1189408589</v>
      </c>
      <c r="N15" s="18">
        <f t="shared" si="11"/>
        <v>13.88</v>
      </c>
      <c r="O15" s="9">
        <f t="shared" si="12"/>
        <v>66</v>
      </c>
      <c r="P15" s="9">
        <f t="shared" si="13"/>
        <v>21.21</v>
      </c>
    </row>
    <row r="16">
      <c r="A16" s="8">
        <v>15.0</v>
      </c>
      <c r="B16" s="15">
        <v>3.183E-4</v>
      </c>
      <c r="C16" s="8">
        <v>0.062</v>
      </c>
      <c r="D16" s="9">
        <f t="shared" si="1"/>
        <v>20.13</v>
      </c>
      <c r="E16" s="16">
        <f t="shared" si="2"/>
        <v>1.04</v>
      </c>
      <c r="F16" s="10">
        <f t="shared" si="3"/>
        <v>2.144786688</v>
      </c>
      <c r="G16" s="11">
        <f t="shared" si="4"/>
        <v>87.41</v>
      </c>
      <c r="H16" s="10">
        <f t="shared" si="5"/>
        <v>129.803</v>
      </c>
      <c r="I16" s="10">
        <f t="shared" si="6"/>
        <v>71.88</v>
      </c>
      <c r="J16" s="12">
        <f t="shared" si="7"/>
        <v>82.233</v>
      </c>
      <c r="K16" s="17">
        <f t="shared" si="8"/>
        <v>0.869</v>
      </c>
      <c r="L16" s="10">
        <f t="shared" si="9"/>
        <v>0.204</v>
      </c>
      <c r="M16" s="10">
        <f t="shared" si="10"/>
        <v>0.1129714345</v>
      </c>
      <c r="N16" s="18">
        <f t="shared" si="11"/>
        <v>13</v>
      </c>
      <c r="O16" s="9">
        <f t="shared" si="12"/>
        <v>66</v>
      </c>
      <c r="P16" s="9">
        <f t="shared" si="13"/>
        <v>22.73</v>
      </c>
    </row>
    <row r="17">
      <c r="A17" s="8">
        <v>16.0</v>
      </c>
      <c r="B17" s="15">
        <v>0.011</v>
      </c>
      <c r="C17" s="8">
        <v>0.392</v>
      </c>
      <c r="D17" s="9">
        <f t="shared" si="1"/>
        <v>118.35</v>
      </c>
      <c r="E17" s="16">
        <f t="shared" si="2"/>
        <v>0.9</v>
      </c>
      <c r="F17" s="10">
        <f t="shared" si="3"/>
        <v>2.131449546</v>
      </c>
      <c r="G17" s="11">
        <f t="shared" si="4"/>
        <v>89.34</v>
      </c>
      <c r="H17" s="10">
        <f t="shared" si="5"/>
        <v>125.64</v>
      </c>
      <c r="I17" s="10">
        <f t="shared" si="6"/>
        <v>66.95</v>
      </c>
      <c r="J17" s="12">
        <f t="shared" si="7"/>
        <v>74.938</v>
      </c>
      <c r="K17" s="17">
        <f t="shared" si="8"/>
        <v>0.871</v>
      </c>
      <c r="L17" s="10">
        <f t="shared" si="9"/>
        <v>0.197</v>
      </c>
      <c r="M17" s="10">
        <f t="shared" si="10"/>
        <v>0.1049738901</v>
      </c>
      <c r="N17" s="18">
        <f t="shared" si="11"/>
        <v>12.05</v>
      </c>
      <c r="O17" s="9">
        <f t="shared" si="12"/>
        <v>66</v>
      </c>
      <c r="P17" s="9">
        <f t="shared" si="13"/>
        <v>24.24</v>
      </c>
    </row>
    <row r="18">
      <c r="A18" s="8">
        <v>17.0</v>
      </c>
      <c r="B18" s="15">
        <v>3.183E-4</v>
      </c>
      <c r="C18" s="8">
        <v>0.063</v>
      </c>
      <c r="D18" s="9">
        <f t="shared" si="1"/>
        <v>20.13</v>
      </c>
      <c r="E18" s="16">
        <f t="shared" si="2"/>
        <v>1.01</v>
      </c>
      <c r="F18" s="10">
        <f t="shared" si="3"/>
        <v>2.119905299</v>
      </c>
      <c r="G18" s="11">
        <f t="shared" si="4"/>
        <v>85.27</v>
      </c>
      <c r="H18" s="10">
        <f t="shared" si="5"/>
        <v>122.803</v>
      </c>
      <c r="I18" s="10">
        <f t="shared" si="6"/>
        <v>63.14</v>
      </c>
      <c r="J18" s="12">
        <f t="shared" si="7"/>
        <v>74.047</v>
      </c>
      <c r="K18" s="17">
        <f t="shared" si="8"/>
        <v>0.879</v>
      </c>
      <c r="L18" s="10">
        <f t="shared" si="9"/>
        <v>0.194</v>
      </c>
      <c r="M18" s="10">
        <f t="shared" si="10"/>
        <v>0.09974559601</v>
      </c>
      <c r="N18" s="18">
        <f t="shared" si="11"/>
        <v>11.35</v>
      </c>
      <c r="O18" s="9">
        <f t="shared" si="12"/>
        <v>66</v>
      </c>
      <c r="P18" s="9">
        <f t="shared" si="13"/>
        <v>25.76</v>
      </c>
    </row>
    <row r="19">
      <c r="A19" s="8">
        <v>18.0</v>
      </c>
      <c r="B19" s="15">
        <v>0.056</v>
      </c>
      <c r="C19" s="8">
        <v>0.929</v>
      </c>
      <c r="D19" s="9">
        <f t="shared" si="1"/>
        <v>267.02</v>
      </c>
      <c r="E19" s="16">
        <f t="shared" si="2"/>
        <v>0.82</v>
      </c>
      <c r="F19" s="10">
        <f t="shared" si="3"/>
        <v>2.109815578</v>
      </c>
      <c r="G19" s="11">
        <f t="shared" si="4"/>
        <v>95.37</v>
      </c>
      <c r="H19" s="10">
        <f t="shared" si="5"/>
        <v>126.605</v>
      </c>
      <c r="I19" s="10">
        <f t="shared" si="6"/>
        <v>62.96</v>
      </c>
      <c r="J19" s="12">
        <f t="shared" si="7"/>
        <v>66.017</v>
      </c>
      <c r="K19" s="17">
        <f t="shared" si="8"/>
        <v>0.876</v>
      </c>
      <c r="L19" s="10">
        <f t="shared" si="9"/>
        <v>0.188</v>
      </c>
      <c r="M19" s="10">
        <f t="shared" si="10"/>
        <v>0.09349020053</v>
      </c>
      <c r="N19" s="18">
        <f t="shared" si="11"/>
        <v>10.67</v>
      </c>
      <c r="O19" s="9">
        <f t="shared" si="12"/>
        <v>66</v>
      </c>
      <c r="P19" s="9">
        <f t="shared" si="13"/>
        <v>27.27</v>
      </c>
    </row>
    <row r="20">
      <c r="A20" s="8">
        <v>19.0</v>
      </c>
      <c r="B20" s="15">
        <v>0.006</v>
      </c>
      <c r="C20" s="8">
        <v>0.273</v>
      </c>
      <c r="D20" s="9">
        <f t="shared" si="1"/>
        <v>87.4</v>
      </c>
      <c r="E20" s="16">
        <f t="shared" si="2"/>
        <v>1.01</v>
      </c>
      <c r="F20" s="10">
        <f t="shared" si="3"/>
        <v>2.10092204</v>
      </c>
      <c r="G20" s="11">
        <f t="shared" si="4"/>
        <v>94.95</v>
      </c>
      <c r="H20" s="10">
        <f t="shared" si="5"/>
        <v>123.051</v>
      </c>
      <c r="I20" s="10">
        <f t="shared" si="6"/>
        <v>59.31</v>
      </c>
      <c r="J20" s="12">
        <f t="shared" si="7"/>
        <v>62.464</v>
      </c>
      <c r="K20" s="17">
        <f t="shared" si="8"/>
        <v>0.883</v>
      </c>
      <c r="L20" s="10">
        <f t="shared" si="9"/>
        <v>0.186</v>
      </c>
      <c r="M20" s="10">
        <f t="shared" si="10"/>
        <v>0.08964913033</v>
      </c>
      <c r="N20" s="18">
        <f t="shared" si="11"/>
        <v>10.15</v>
      </c>
      <c r="O20" s="9">
        <f t="shared" si="12"/>
        <v>66</v>
      </c>
      <c r="P20" s="9">
        <f t="shared" si="13"/>
        <v>28.79</v>
      </c>
    </row>
    <row r="21">
      <c r="A21" s="8">
        <v>20.0</v>
      </c>
      <c r="B21" s="15">
        <v>0.002</v>
      </c>
      <c r="C21" s="8">
        <v>0.158</v>
      </c>
      <c r="D21" s="9">
        <f t="shared" si="1"/>
        <v>50.46</v>
      </c>
      <c r="E21" s="16">
        <f t="shared" si="2"/>
        <v>1.01</v>
      </c>
      <c r="F21" s="10">
        <f t="shared" si="3"/>
        <v>2.093024054</v>
      </c>
      <c r="G21" s="11">
        <f t="shared" si="4"/>
        <v>92.72</v>
      </c>
      <c r="H21" s="10">
        <f t="shared" si="5"/>
        <v>120.182</v>
      </c>
      <c r="I21" s="10">
        <f t="shared" si="6"/>
        <v>56.25</v>
      </c>
      <c r="J21" s="12">
        <f t="shared" si="7"/>
        <v>60.667</v>
      </c>
      <c r="K21" s="17">
        <f t="shared" si="8"/>
        <v>0.89</v>
      </c>
      <c r="L21" s="10">
        <f t="shared" si="9"/>
        <v>0.183</v>
      </c>
      <c r="M21" s="10">
        <f t="shared" si="10"/>
        <v>0.08564663637</v>
      </c>
      <c r="N21" s="18">
        <f t="shared" si="11"/>
        <v>9.62</v>
      </c>
      <c r="O21" s="9">
        <f t="shared" si="12"/>
        <v>66</v>
      </c>
      <c r="P21" s="9">
        <f t="shared" si="13"/>
        <v>30.3</v>
      </c>
    </row>
    <row r="22">
      <c r="A22" s="8">
        <v>21.0</v>
      </c>
      <c r="B22" s="15">
        <v>5.729E-5</v>
      </c>
      <c r="C22" s="8">
        <v>0.024</v>
      </c>
      <c r="D22" s="9">
        <f t="shared" si="1"/>
        <v>8.54</v>
      </c>
      <c r="E22" s="16">
        <f t="shared" si="2"/>
        <v>1.25</v>
      </c>
      <c r="F22" s="10">
        <f t="shared" si="3"/>
        <v>2.085963447</v>
      </c>
      <c r="G22" s="11">
        <f t="shared" si="4"/>
        <v>88.72</v>
      </c>
      <c r="H22" s="10">
        <f t="shared" si="5"/>
        <v>118.57</v>
      </c>
      <c r="I22" s="10">
        <f t="shared" si="6"/>
        <v>53.97</v>
      </c>
      <c r="J22" s="12">
        <f t="shared" si="7"/>
        <v>60.832</v>
      </c>
      <c r="K22" s="17">
        <f t="shared" si="8"/>
        <v>0.907</v>
      </c>
      <c r="L22" s="10">
        <f t="shared" si="9"/>
        <v>0.195</v>
      </c>
      <c r="M22" s="10">
        <f t="shared" si="10"/>
        <v>0.0887629358</v>
      </c>
      <c r="N22" s="18">
        <f t="shared" si="11"/>
        <v>9.79</v>
      </c>
      <c r="O22" s="9">
        <f t="shared" si="12"/>
        <v>66</v>
      </c>
      <c r="P22" s="9">
        <f t="shared" si="13"/>
        <v>31.82</v>
      </c>
    </row>
    <row r="23">
      <c r="A23" s="8">
        <v>22.0</v>
      </c>
      <c r="B23" s="15">
        <v>0.01</v>
      </c>
      <c r="C23" s="8">
        <v>0.427</v>
      </c>
      <c r="D23" s="9">
        <f t="shared" si="1"/>
        <v>112.84</v>
      </c>
      <c r="E23" s="16">
        <f t="shared" si="2"/>
        <v>0.69</v>
      </c>
      <c r="F23" s="10">
        <f t="shared" si="3"/>
        <v>2.079613845</v>
      </c>
      <c r="G23" s="11">
        <f t="shared" si="4"/>
        <v>89.81</v>
      </c>
      <c r="H23" s="10">
        <f t="shared" si="5"/>
        <v>115.827</v>
      </c>
      <c r="I23" s="10">
        <f t="shared" si="6"/>
        <v>51.35</v>
      </c>
      <c r="J23" s="12">
        <f t="shared" si="7"/>
        <v>57.176</v>
      </c>
      <c r="K23" s="17">
        <f t="shared" si="8"/>
        <v>0.897</v>
      </c>
      <c r="L23" s="10">
        <f t="shared" si="9"/>
        <v>0.196</v>
      </c>
      <c r="M23" s="10">
        <f t="shared" si="10"/>
        <v>0.08690153164</v>
      </c>
      <c r="N23" s="18">
        <f t="shared" si="11"/>
        <v>9.69</v>
      </c>
      <c r="O23" s="9">
        <f t="shared" si="12"/>
        <v>66</v>
      </c>
      <c r="P23" s="9">
        <f t="shared" si="13"/>
        <v>33.33</v>
      </c>
    </row>
    <row r="24">
      <c r="A24" s="8">
        <v>23.0</v>
      </c>
      <c r="B24" s="15">
        <v>0.002</v>
      </c>
      <c r="C24" s="8">
        <v>0.148</v>
      </c>
      <c r="D24" s="9">
        <f t="shared" si="1"/>
        <v>50.46</v>
      </c>
      <c r="E24" s="16">
        <f t="shared" si="2"/>
        <v>1.15</v>
      </c>
      <c r="F24" s="10">
        <f t="shared" si="3"/>
        <v>2.073873068</v>
      </c>
      <c r="G24" s="11">
        <f t="shared" si="4"/>
        <v>88.1</v>
      </c>
      <c r="H24" s="10">
        <f t="shared" si="5"/>
        <v>113.461</v>
      </c>
      <c r="I24" s="10">
        <f t="shared" si="6"/>
        <v>49.06</v>
      </c>
      <c r="J24" s="12">
        <f t="shared" si="7"/>
        <v>55.687</v>
      </c>
      <c r="K24" s="17">
        <f t="shared" si="8"/>
        <v>0.908</v>
      </c>
      <c r="L24" s="10">
        <f t="shared" si="9"/>
        <v>0.198</v>
      </c>
      <c r="M24" s="10">
        <f t="shared" si="10"/>
        <v>0.08562162066</v>
      </c>
      <c r="N24" s="18">
        <f t="shared" si="11"/>
        <v>9.43</v>
      </c>
      <c r="O24" s="9">
        <f t="shared" si="12"/>
        <v>66</v>
      </c>
      <c r="P24" s="9">
        <f t="shared" si="13"/>
        <v>34.85</v>
      </c>
    </row>
    <row r="25">
      <c r="A25" s="8">
        <v>24.0</v>
      </c>
      <c r="B25" s="8">
        <v>0.006</v>
      </c>
      <c r="C25" s="8">
        <v>0.28</v>
      </c>
      <c r="D25" s="9">
        <f t="shared" si="1"/>
        <v>87.4</v>
      </c>
      <c r="E25" s="9">
        <f t="shared" si="2"/>
        <v>0.96</v>
      </c>
      <c r="F25" s="10">
        <f t="shared" si="3"/>
        <v>2.06865761</v>
      </c>
      <c r="G25" s="11">
        <f t="shared" si="4"/>
        <v>88.07</v>
      </c>
      <c r="H25" s="10">
        <f t="shared" si="5"/>
        <v>110.967</v>
      </c>
      <c r="I25" s="10">
        <f t="shared" si="6"/>
        <v>46.86</v>
      </c>
      <c r="J25" s="12">
        <f t="shared" si="7"/>
        <v>53.208</v>
      </c>
      <c r="K25" s="17">
        <f t="shared" si="8"/>
        <v>0.91</v>
      </c>
      <c r="L25" s="10">
        <f t="shared" si="9"/>
        <v>0.194</v>
      </c>
      <c r="M25" s="10">
        <f t="shared" si="10"/>
        <v>0.0819190155</v>
      </c>
      <c r="N25" s="18">
        <f t="shared" si="11"/>
        <v>9</v>
      </c>
      <c r="O25" s="9">
        <f t="shared" si="12"/>
        <v>66</v>
      </c>
      <c r="P25" s="9">
        <f t="shared" si="13"/>
        <v>36.36</v>
      </c>
    </row>
    <row r="26">
      <c r="A26" s="8">
        <v>25.0</v>
      </c>
      <c r="B26" s="15">
        <v>0.005</v>
      </c>
      <c r="C26" s="8">
        <v>0.256</v>
      </c>
      <c r="D26" s="9">
        <f t="shared" si="1"/>
        <v>79.79</v>
      </c>
      <c r="E26" s="16">
        <f t="shared" si="2"/>
        <v>0.96</v>
      </c>
      <c r="F26" s="10">
        <f t="shared" si="3"/>
        <v>2.063898562</v>
      </c>
      <c r="G26" s="11">
        <f t="shared" si="4"/>
        <v>87.74</v>
      </c>
      <c r="H26" s="10">
        <f t="shared" si="5"/>
        <v>108.643</v>
      </c>
      <c r="I26" s="10">
        <f t="shared" si="6"/>
        <v>44.85</v>
      </c>
      <c r="J26" s="12">
        <f t="shared" si="7"/>
        <v>51.117</v>
      </c>
      <c r="K26" s="17">
        <f t="shared" si="8"/>
        <v>0.912</v>
      </c>
      <c r="L26" s="10">
        <f t="shared" si="9"/>
        <v>0.191</v>
      </c>
      <c r="M26" s="10">
        <f t="shared" si="10"/>
        <v>0.07884092505</v>
      </c>
      <c r="N26" s="18">
        <f t="shared" si="11"/>
        <v>8.64</v>
      </c>
      <c r="O26" s="9">
        <f t="shared" si="12"/>
        <v>66</v>
      </c>
      <c r="P26" s="9">
        <f t="shared" si="13"/>
        <v>37.88</v>
      </c>
    </row>
    <row r="27">
      <c r="A27" s="8">
        <v>26.0</v>
      </c>
      <c r="B27" s="15">
        <v>0.013</v>
      </c>
      <c r="C27" s="8">
        <v>0.42</v>
      </c>
      <c r="D27" s="9">
        <f t="shared" si="1"/>
        <v>128.66</v>
      </c>
      <c r="E27" s="16">
        <f t="shared" si="2"/>
        <v>0.93</v>
      </c>
      <c r="F27" s="10">
        <f t="shared" si="3"/>
        <v>2.059538553</v>
      </c>
      <c r="G27" s="11">
        <f t="shared" si="4"/>
        <v>89.31</v>
      </c>
      <c r="H27" s="10">
        <f t="shared" si="5"/>
        <v>106.75</v>
      </c>
      <c r="I27" s="10">
        <f t="shared" si="6"/>
        <v>43.12</v>
      </c>
      <c r="J27" s="12">
        <f t="shared" si="7"/>
        <v>48.281</v>
      </c>
      <c r="K27" s="17">
        <f t="shared" si="8"/>
        <v>0.913</v>
      </c>
      <c r="L27" s="10">
        <f t="shared" si="9"/>
        <v>0.187</v>
      </c>
      <c r="M27" s="10">
        <f t="shared" si="10"/>
        <v>0.07553093459</v>
      </c>
      <c r="N27" s="18">
        <f t="shared" si="11"/>
        <v>8.27</v>
      </c>
      <c r="O27" s="9">
        <f t="shared" si="12"/>
        <v>66</v>
      </c>
      <c r="P27" s="9">
        <f t="shared" si="13"/>
        <v>39.39</v>
      </c>
    </row>
    <row r="28">
      <c r="A28" s="8">
        <v>27.0</v>
      </c>
      <c r="B28" s="15">
        <v>2.164E-4</v>
      </c>
      <c r="C28" s="8">
        <v>0.051</v>
      </c>
      <c r="D28" s="9">
        <f t="shared" si="1"/>
        <v>16.6</v>
      </c>
      <c r="E28" s="16">
        <f t="shared" si="2"/>
        <v>1.05</v>
      </c>
      <c r="F28" s="10">
        <f t="shared" si="3"/>
        <v>2.055529439</v>
      </c>
      <c r="G28" s="11">
        <f t="shared" si="4"/>
        <v>86.62</v>
      </c>
      <c r="H28" s="10">
        <f t="shared" si="5"/>
        <v>105.609</v>
      </c>
      <c r="I28" s="10">
        <f t="shared" si="6"/>
        <v>41.78</v>
      </c>
      <c r="J28" s="12">
        <f t="shared" si="7"/>
        <v>48.234</v>
      </c>
      <c r="K28" s="17">
        <f t="shared" si="8"/>
        <v>0.918</v>
      </c>
      <c r="L28" s="10">
        <f t="shared" si="9"/>
        <v>0.185</v>
      </c>
      <c r="M28" s="10">
        <f t="shared" si="10"/>
        <v>0.07318356261</v>
      </c>
      <c r="N28" s="18">
        <f t="shared" si="11"/>
        <v>7.97</v>
      </c>
      <c r="O28" s="9">
        <f t="shared" si="12"/>
        <v>66</v>
      </c>
      <c r="P28" s="9">
        <f t="shared" si="13"/>
        <v>40.91</v>
      </c>
    </row>
    <row r="29">
      <c r="A29" s="8">
        <v>28.0</v>
      </c>
      <c r="B29" s="15">
        <v>0.004</v>
      </c>
      <c r="C29" s="8">
        <v>0.22</v>
      </c>
      <c r="D29" s="9">
        <f t="shared" si="1"/>
        <v>71.36</v>
      </c>
      <c r="E29" s="16">
        <f t="shared" si="2"/>
        <v>1.04</v>
      </c>
      <c r="F29" s="10">
        <f t="shared" si="3"/>
        <v>2.051830516</v>
      </c>
      <c r="G29" s="11">
        <f t="shared" si="4"/>
        <v>86.08</v>
      </c>
      <c r="H29" s="10">
        <f t="shared" si="5"/>
        <v>103.675</v>
      </c>
      <c r="I29" s="10">
        <f t="shared" si="6"/>
        <v>40.2</v>
      </c>
      <c r="J29" s="12">
        <f t="shared" si="7"/>
        <v>46.701</v>
      </c>
      <c r="K29" s="17">
        <f t="shared" si="8"/>
        <v>0.922</v>
      </c>
      <c r="L29" s="10">
        <f t="shared" si="9"/>
        <v>0.183</v>
      </c>
      <c r="M29" s="10">
        <f t="shared" si="10"/>
        <v>0.07095999215</v>
      </c>
      <c r="N29" s="18">
        <f t="shared" si="11"/>
        <v>7.7</v>
      </c>
      <c r="O29" s="9">
        <f t="shared" si="12"/>
        <v>66</v>
      </c>
      <c r="P29" s="9">
        <f t="shared" si="13"/>
        <v>42.42</v>
      </c>
    </row>
    <row r="30">
      <c r="A30" s="8">
        <v>29.0</v>
      </c>
      <c r="B30" s="15">
        <v>3.947E-4</v>
      </c>
      <c r="C30" s="8">
        <v>0.072</v>
      </c>
      <c r="D30" s="9">
        <f t="shared" si="1"/>
        <v>22.42</v>
      </c>
      <c r="E30" s="16">
        <f t="shared" si="2"/>
        <v>0.96</v>
      </c>
      <c r="F30" s="10">
        <f t="shared" si="3"/>
        <v>2.048407142</v>
      </c>
      <c r="G30" s="11">
        <f t="shared" si="4"/>
        <v>83.88</v>
      </c>
      <c r="H30" s="10">
        <f t="shared" si="5"/>
        <v>102.49</v>
      </c>
      <c r="I30" s="10">
        <f t="shared" si="6"/>
        <v>38.99</v>
      </c>
      <c r="J30" s="12">
        <f t="shared" si="7"/>
        <v>46.483</v>
      </c>
      <c r="K30" s="17">
        <f t="shared" si="8"/>
        <v>0.923</v>
      </c>
      <c r="L30" s="10">
        <f t="shared" si="9"/>
        <v>0.18</v>
      </c>
      <c r="M30" s="10">
        <f t="shared" si="10"/>
        <v>0.06846833825</v>
      </c>
      <c r="N30" s="18">
        <f t="shared" si="11"/>
        <v>7.42</v>
      </c>
      <c r="O30" s="9">
        <f t="shared" si="12"/>
        <v>66</v>
      </c>
      <c r="P30" s="9">
        <f t="shared" si="13"/>
        <v>43.94</v>
      </c>
    </row>
    <row r="31">
      <c r="A31" s="8">
        <v>30.0</v>
      </c>
      <c r="B31" s="15">
        <v>0.006</v>
      </c>
      <c r="C31" s="8">
        <v>0.28</v>
      </c>
      <c r="D31" s="9">
        <f t="shared" si="1"/>
        <v>87.4</v>
      </c>
      <c r="E31" s="16">
        <f t="shared" si="2"/>
        <v>0.96</v>
      </c>
      <c r="F31" s="10">
        <f t="shared" si="3"/>
        <v>2.045229642</v>
      </c>
      <c r="G31" s="11">
        <f t="shared" si="4"/>
        <v>84</v>
      </c>
      <c r="H31" s="10">
        <f t="shared" si="5"/>
        <v>100.71</v>
      </c>
      <c r="I31" s="10">
        <f t="shared" si="6"/>
        <v>37.61</v>
      </c>
      <c r="J31" s="12">
        <f t="shared" si="7"/>
        <v>44.774</v>
      </c>
      <c r="K31" s="17">
        <f t="shared" si="8"/>
        <v>0.925</v>
      </c>
      <c r="L31" s="10">
        <f t="shared" si="9"/>
        <v>0.177</v>
      </c>
      <c r="M31" s="10">
        <f t="shared" si="10"/>
        <v>0.06609288621</v>
      </c>
      <c r="N31" s="18">
        <f t="shared" si="11"/>
        <v>7.15</v>
      </c>
      <c r="O31" s="9">
        <f t="shared" si="12"/>
        <v>66</v>
      </c>
      <c r="P31" s="9">
        <f t="shared" si="13"/>
        <v>45.45</v>
      </c>
    </row>
    <row r="32">
      <c r="A32" s="8">
        <v>31.0</v>
      </c>
      <c r="B32" s="15">
        <v>0.058</v>
      </c>
      <c r="C32" s="8">
        <v>1.501</v>
      </c>
      <c r="D32" s="9">
        <f t="shared" si="1"/>
        <v>271.75</v>
      </c>
      <c r="E32" s="16">
        <f t="shared" si="2"/>
        <v>0.32</v>
      </c>
      <c r="F32" s="10">
        <f t="shared" si="3"/>
        <v>2.042272456</v>
      </c>
      <c r="G32" s="11">
        <f t="shared" si="4"/>
        <v>90.06</v>
      </c>
      <c r="H32" s="10">
        <f t="shared" si="5"/>
        <v>104.602</v>
      </c>
      <c r="I32" s="10">
        <f t="shared" si="6"/>
        <v>38.37</v>
      </c>
      <c r="J32" s="12">
        <f t="shared" si="7"/>
        <v>42.605</v>
      </c>
      <c r="K32" s="17">
        <f t="shared" si="8"/>
        <v>0.905</v>
      </c>
      <c r="L32" s="10">
        <f t="shared" si="9"/>
        <v>0.205</v>
      </c>
      <c r="M32" s="10">
        <f t="shared" si="10"/>
        <v>0.07519460707</v>
      </c>
      <c r="N32" s="18">
        <f t="shared" si="11"/>
        <v>8.31</v>
      </c>
      <c r="O32" s="9">
        <f t="shared" si="12"/>
        <v>66</v>
      </c>
      <c r="P32" s="9">
        <f t="shared" si="13"/>
        <v>46.97</v>
      </c>
    </row>
    <row r="33">
      <c r="A33" s="8">
        <v>32.0</v>
      </c>
      <c r="B33" s="15">
        <v>0.008</v>
      </c>
      <c r="C33" s="8">
        <v>0.355</v>
      </c>
      <c r="D33" s="9">
        <f t="shared" si="1"/>
        <v>100.93</v>
      </c>
      <c r="E33" s="16">
        <f t="shared" si="2"/>
        <v>0.8</v>
      </c>
      <c r="F33" s="10">
        <f t="shared" si="3"/>
        <v>2.039513446</v>
      </c>
      <c r="G33" s="11">
        <f t="shared" si="4"/>
        <v>90.4</v>
      </c>
      <c r="H33" s="10">
        <f t="shared" si="5"/>
        <v>102.919</v>
      </c>
      <c r="I33" s="10">
        <f t="shared" si="6"/>
        <v>37.11</v>
      </c>
      <c r="J33" s="12">
        <f t="shared" si="7"/>
        <v>41.051</v>
      </c>
      <c r="K33" s="17">
        <f t="shared" si="8"/>
        <v>0.902</v>
      </c>
      <c r="L33" s="10">
        <f t="shared" si="9"/>
        <v>0.202</v>
      </c>
      <c r="M33" s="10">
        <f t="shared" si="10"/>
        <v>0.07282876631</v>
      </c>
      <c r="N33" s="18">
        <f t="shared" si="11"/>
        <v>8.07</v>
      </c>
      <c r="O33" s="9">
        <f t="shared" si="12"/>
        <v>66</v>
      </c>
      <c r="P33" s="9">
        <f t="shared" si="13"/>
        <v>48.48</v>
      </c>
    </row>
    <row r="34">
      <c r="A34" s="8">
        <v>33.0</v>
      </c>
      <c r="B34" s="15">
        <v>0.005</v>
      </c>
      <c r="C34" s="8">
        <v>0.254</v>
      </c>
      <c r="D34" s="9">
        <f t="shared" si="1"/>
        <v>79.79</v>
      </c>
      <c r="E34" s="16">
        <f t="shared" si="2"/>
        <v>0.97</v>
      </c>
      <c r="F34" s="10">
        <f t="shared" si="3"/>
        <v>2.036933343</v>
      </c>
      <c r="G34" s="11">
        <f t="shared" si="4"/>
        <v>90.07</v>
      </c>
      <c r="H34" s="10">
        <f t="shared" si="5"/>
        <v>101.315</v>
      </c>
      <c r="I34" s="10">
        <f t="shared" si="6"/>
        <v>35.92</v>
      </c>
      <c r="J34" s="12">
        <f t="shared" si="7"/>
        <v>39.88</v>
      </c>
      <c r="K34" s="17">
        <f t="shared" si="8"/>
        <v>0.904</v>
      </c>
      <c r="L34" s="10">
        <f t="shared" si="9"/>
        <v>0.2</v>
      </c>
      <c r="M34" s="10">
        <f t="shared" si="10"/>
        <v>0.07091691635</v>
      </c>
      <c r="N34" s="18">
        <f t="shared" si="11"/>
        <v>7.84</v>
      </c>
      <c r="O34" s="9">
        <f t="shared" si="12"/>
        <v>66</v>
      </c>
      <c r="P34" s="9">
        <f t="shared" si="13"/>
        <v>50</v>
      </c>
    </row>
    <row r="35">
      <c r="A35" s="8">
        <v>34.0</v>
      </c>
      <c r="B35" s="8">
        <v>0.007</v>
      </c>
      <c r="C35" s="8">
        <v>0.306</v>
      </c>
      <c r="D35" s="9">
        <f t="shared" si="1"/>
        <v>94.41</v>
      </c>
      <c r="E35" s="9">
        <f t="shared" si="2"/>
        <v>0.94</v>
      </c>
      <c r="F35" s="10">
        <f t="shared" si="3"/>
        <v>2.034515297</v>
      </c>
      <c r="G35" s="11">
        <f t="shared" si="4"/>
        <v>90.2</v>
      </c>
      <c r="H35" s="10">
        <f t="shared" si="5"/>
        <v>99.771</v>
      </c>
      <c r="I35" s="10">
        <f t="shared" si="6"/>
        <v>34.81</v>
      </c>
      <c r="J35" s="12">
        <f t="shared" si="7"/>
        <v>38.592</v>
      </c>
      <c r="K35" s="17">
        <f t="shared" si="8"/>
        <v>0.905</v>
      </c>
      <c r="L35" s="10">
        <f t="shared" si="9"/>
        <v>0.197</v>
      </c>
      <c r="M35" s="10">
        <f t="shared" si="10"/>
        <v>0.06873654951</v>
      </c>
      <c r="N35" s="18">
        <f t="shared" si="11"/>
        <v>7.6</v>
      </c>
      <c r="O35" s="9">
        <f t="shared" si="12"/>
        <v>66</v>
      </c>
      <c r="P35" s="9">
        <f t="shared" si="13"/>
        <v>51.52</v>
      </c>
    </row>
    <row r="36">
      <c r="A36" s="8">
        <v>35.0</v>
      </c>
      <c r="B36" s="15">
        <v>0.003</v>
      </c>
      <c r="C36" s="8">
        <v>0.196</v>
      </c>
      <c r="D36" s="9">
        <f t="shared" si="1"/>
        <v>61.8</v>
      </c>
      <c r="E36" s="16">
        <f t="shared" si="2"/>
        <v>0.98</v>
      </c>
      <c r="F36" s="10">
        <f t="shared" si="3"/>
        <v>2.032244509</v>
      </c>
      <c r="G36" s="11">
        <f t="shared" si="4"/>
        <v>89.39</v>
      </c>
      <c r="H36" s="10">
        <f t="shared" si="5"/>
        <v>98.41</v>
      </c>
      <c r="I36" s="10">
        <f t="shared" si="6"/>
        <v>33.81</v>
      </c>
      <c r="J36" s="12">
        <f t="shared" si="7"/>
        <v>37.823</v>
      </c>
      <c r="K36" s="17">
        <f t="shared" si="8"/>
        <v>0.907</v>
      </c>
      <c r="L36" s="10">
        <f t="shared" si="9"/>
        <v>0.194</v>
      </c>
      <c r="M36" s="10">
        <f t="shared" si="10"/>
        <v>0.06664133164</v>
      </c>
      <c r="N36" s="18">
        <f t="shared" si="11"/>
        <v>7.35</v>
      </c>
      <c r="O36" s="9">
        <f t="shared" si="12"/>
        <v>66</v>
      </c>
      <c r="P36" s="9">
        <f t="shared" si="13"/>
        <v>53.03</v>
      </c>
    </row>
    <row r="37">
      <c r="A37" s="8">
        <v>36.0</v>
      </c>
      <c r="B37" s="15">
        <v>0.007</v>
      </c>
      <c r="C37" s="8">
        <v>0.303</v>
      </c>
      <c r="D37" s="9">
        <f t="shared" si="1"/>
        <v>94.41</v>
      </c>
      <c r="E37" s="16">
        <f t="shared" si="2"/>
        <v>0.96</v>
      </c>
      <c r="F37" s="10">
        <f t="shared" si="3"/>
        <v>2.030107928</v>
      </c>
      <c r="G37" s="11">
        <f t="shared" si="4"/>
        <v>89.53</v>
      </c>
      <c r="H37" s="10">
        <f t="shared" si="5"/>
        <v>96.997</v>
      </c>
      <c r="I37" s="10">
        <f t="shared" si="6"/>
        <v>32.82</v>
      </c>
      <c r="J37" s="12">
        <f t="shared" si="7"/>
        <v>36.658</v>
      </c>
      <c r="K37" s="17">
        <f t="shared" si="8"/>
        <v>0.909</v>
      </c>
      <c r="L37" s="10">
        <f t="shared" si="9"/>
        <v>0.192</v>
      </c>
      <c r="M37" s="10">
        <f t="shared" si="10"/>
        <v>0.0649634537</v>
      </c>
      <c r="N37" s="18">
        <f t="shared" si="11"/>
        <v>7.15</v>
      </c>
      <c r="O37" s="9">
        <f t="shared" si="12"/>
        <v>66</v>
      </c>
      <c r="P37" s="9">
        <f t="shared" si="13"/>
        <v>54.55</v>
      </c>
    </row>
    <row r="38">
      <c r="A38" s="8">
        <v>37.0</v>
      </c>
      <c r="B38" s="15">
        <v>0.005</v>
      </c>
      <c r="C38" s="8">
        <v>0.259</v>
      </c>
      <c r="D38" s="9">
        <f t="shared" si="1"/>
        <v>79.79</v>
      </c>
      <c r="E38" s="16">
        <f t="shared" si="2"/>
        <v>0.94</v>
      </c>
      <c r="F38" s="10">
        <f t="shared" si="3"/>
        <v>2.028094001</v>
      </c>
      <c r="G38" s="11">
        <f t="shared" si="4"/>
        <v>89.27</v>
      </c>
      <c r="H38" s="10">
        <f t="shared" si="5"/>
        <v>95.654</v>
      </c>
      <c r="I38" s="10">
        <f t="shared" si="6"/>
        <v>31.89</v>
      </c>
      <c r="J38" s="12">
        <f t="shared" si="7"/>
        <v>35.723</v>
      </c>
      <c r="K38" s="17">
        <f t="shared" si="8"/>
        <v>0.909</v>
      </c>
      <c r="L38" s="10">
        <f t="shared" si="9"/>
        <v>0.189</v>
      </c>
      <c r="M38" s="10">
        <f t="shared" si="10"/>
        <v>0.06301573739</v>
      </c>
      <c r="N38" s="18">
        <f t="shared" si="11"/>
        <v>6.93</v>
      </c>
      <c r="O38" s="9">
        <f t="shared" si="12"/>
        <v>66</v>
      </c>
      <c r="P38" s="9">
        <f t="shared" si="13"/>
        <v>56.06</v>
      </c>
    </row>
    <row r="39">
      <c r="A39" s="8">
        <v>38.0</v>
      </c>
      <c r="B39" s="15">
        <v>0.001</v>
      </c>
      <c r="C39" s="8">
        <v>0.13</v>
      </c>
      <c r="D39" s="9">
        <f t="shared" si="1"/>
        <v>35.68</v>
      </c>
      <c r="E39" s="16">
        <f t="shared" si="2"/>
        <v>0.74</v>
      </c>
      <c r="F39" s="10">
        <f t="shared" si="3"/>
        <v>2.026192463</v>
      </c>
      <c r="G39" s="11">
        <f t="shared" si="4"/>
        <v>87.86</v>
      </c>
      <c r="H39" s="10">
        <f t="shared" si="5"/>
        <v>94.752</v>
      </c>
      <c r="I39" s="10">
        <f t="shared" si="6"/>
        <v>31.14</v>
      </c>
      <c r="J39" s="12">
        <f t="shared" si="7"/>
        <v>35.443</v>
      </c>
      <c r="K39" s="17">
        <f t="shared" si="8"/>
        <v>0.905</v>
      </c>
      <c r="L39" s="10">
        <f t="shared" si="9"/>
        <v>0.188</v>
      </c>
      <c r="M39" s="10">
        <f t="shared" si="10"/>
        <v>0.06179406232</v>
      </c>
      <c r="N39" s="18">
        <f t="shared" si="11"/>
        <v>6.83</v>
      </c>
      <c r="O39" s="9">
        <f t="shared" si="12"/>
        <v>66</v>
      </c>
      <c r="P39" s="9">
        <f t="shared" si="13"/>
        <v>57.58</v>
      </c>
    </row>
    <row r="40">
      <c r="A40" s="8">
        <v>39.0</v>
      </c>
      <c r="B40" s="8">
        <v>0.003</v>
      </c>
      <c r="C40" s="8">
        <v>0.206</v>
      </c>
      <c r="D40" s="9">
        <f t="shared" si="1"/>
        <v>61.8</v>
      </c>
      <c r="E40" s="9">
        <f t="shared" si="2"/>
        <v>0.89</v>
      </c>
      <c r="F40" s="10">
        <f t="shared" si="3"/>
        <v>2.024394164</v>
      </c>
      <c r="G40" s="11">
        <f t="shared" si="4"/>
        <v>87.19</v>
      </c>
      <c r="H40" s="10">
        <f t="shared" si="5"/>
        <v>93.59</v>
      </c>
      <c r="I40" s="10">
        <f t="shared" si="6"/>
        <v>30.34</v>
      </c>
      <c r="J40" s="12">
        <f t="shared" si="7"/>
        <v>34.798</v>
      </c>
      <c r="K40" s="17">
        <f t="shared" si="8"/>
        <v>0.905</v>
      </c>
      <c r="L40" s="10">
        <f t="shared" si="9"/>
        <v>0.186</v>
      </c>
      <c r="M40" s="10">
        <f t="shared" si="10"/>
        <v>0.06029422501</v>
      </c>
      <c r="N40" s="18">
        <f t="shared" si="11"/>
        <v>6.66</v>
      </c>
      <c r="O40" s="9">
        <f t="shared" si="12"/>
        <v>66</v>
      </c>
      <c r="P40" s="9">
        <f t="shared" si="13"/>
        <v>59.09</v>
      </c>
    </row>
    <row r="41">
      <c r="A41" s="8">
        <v>40.0</v>
      </c>
      <c r="B41" s="15">
        <v>4.138E-4</v>
      </c>
      <c r="C41" s="8">
        <v>0.072</v>
      </c>
      <c r="D41" s="9">
        <f t="shared" si="1"/>
        <v>22.95</v>
      </c>
      <c r="E41" s="16">
        <f t="shared" si="2"/>
        <v>1</v>
      </c>
      <c r="F41" s="10">
        <f t="shared" si="3"/>
        <v>2.02269092</v>
      </c>
      <c r="G41" s="11">
        <f t="shared" si="4"/>
        <v>85.58</v>
      </c>
      <c r="H41" s="10">
        <f t="shared" si="5"/>
        <v>92.939</v>
      </c>
      <c r="I41" s="10">
        <f t="shared" si="6"/>
        <v>29.72</v>
      </c>
      <c r="J41" s="12">
        <f t="shared" si="7"/>
        <v>34.728</v>
      </c>
      <c r="K41" s="17">
        <f t="shared" si="8"/>
        <v>0.907</v>
      </c>
      <c r="L41" s="10">
        <f t="shared" si="9"/>
        <v>0.184</v>
      </c>
      <c r="M41" s="10">
        <f t="shared" si="10"/>
        <v>0.05884605485</v>
      </c>
      <c r="N41" s="18">
        <f t="shared" si="11"/>
        <v>6.49</v>
      </c>
      <c r="O41" s="9">
        <f t="shared" si="12"/>
        <v>66</v>
      </c>
      <c r="P41" s="9">
        <f t="shared" si="13"/>
        <v>60.61</v>
      </c>
    </row>
    <row r="42">
      <c r="A42" s="8">
        <v>41.0</v>
      </c>
      <c r="B42" s="15">
        <v>0.007</v>
      </c>
      <c r="C42" s="8">
        <v>0.309</v>
      </c>
      <c r="D42" s="9">
        <f t="shared" si="1"/>
        <v>94.41</v>
      </c>
      <c r="E42" s="16">
        <f t="shared" si="2"/>
        <v>0.92</v>
      </c>
      <c r="F42" s="10">
        <f t="shared" si="3"/>
        <v>2.02107539</v>
      </c>
      <c r="G42" s="11">
        <f t="shared" si="4"/>
        <v>85.8</v>
      </c>
      <c r="H42" s="10">
        <f t="shared" si="5"/>
        <v>91.78</v>
      </c>
      <c r="I42" s="10">
        <f t="shared" si="6"/>
        <v>28.97</v>
      </c>
      <c r="J42" s="12">
        <f t="shared" si="7"/>
        <v>33.765</v>
      </c>
      <c r="K42" s="17">
        <f t="shared" si="8"/>
        <v>0.907</v>
      </c>
      <c r="L42" s="10">
        <f t="shared" si="9"/>
        <v>0.182</v>
      </c>
      <c r="M42" s="10">
        <f t="shared" si="10"/>
        <v>0.05744628831</v>
      </c>
      <c r="N42" s="18">
        <f t="shared" si="11"/>
        <v>6.33</v>
      </c>
      <c r="O42" s="9">
        <f t="shared" si="12"/>
        <v>66</v>
      </c>
      <c r="P42" s="9">
        <f t="shared" si="13"/>
        <v>62.12</v>
      </c>
    </row>
    <row r="43">
      <c r="A43" s="8">
        <v>42.0</v>
      </c>
      <c r="B43" s="15">
        <v>0.009</v>
      </c>
      <c r="C43" s="8">
        <v>0.364</v>
      </c>
      <c r="D43" s="9">
        <f t="shared" si="1"/>
        <v>107.05</v>
      </c>
      <c r="E43" s="16">
        <f t="shared" si="2"/>
        <v>0.85</v>
      </c>
      <c r="F43" s="10">
        <f t="shared" si="3"/>
        <v>2.01954097</v>
      </c>
      <c r="G43" s="11">
        <f t="shared" si="4"/>
        <v>86.3</v>
      </c>
      <c r="H43" s="10">
        <f t="shared" si="5"/>
        <v>90.713</v>
      </c>
      <c r="I43" s="10">
        <f t="shared" si="6"/>
        <v>28.27</v>
      </c>
      <c r="J43" s="12">
        <f t="shared" si="7"/>
        <v>32.758</v>
      </c>
      <c r="K43" s="17">
        <f t="shared" si="8"/>
        <v>0.906</v>
      </c>
      <c r="L43" s="10">
        <f t="shared" si="9"/>
        <v>0.18</v>
      </c>
      <c r="M43" s="10">
        <f t="shared" si="10"/>
        <v>0.05609194868</v>
      </c>
      <c r="N43" s="18">
        <f t="shared" si="11"/>
        <v>6.19</v>
      </c>
      <c r="O43" s="9">
        <f t="shared" si="12"/>
        <v>66</v>
      </c>
      <c r="P43" s="9">
        <f t="shared" si="13"/>
        <v>63.64</v>
      </c>
    </row>
    <row r="44">
      <c r="A44" s="8">
        <v>43.0</v>
      </c>
      <c r="B44" s="15">
        <v>0.036</v>
      </c>
      <c r="C44" s="8">
        <v>0.797</v>
      </c>
      <c r="D44" s="9">
        <f t="shared" si="1"/>
        <v>214.09</v>
      </c>
      <c r="E44" s="16">
        <f t="shared" si="2"/>
        <v>0.71</v>
      </c>
      <c r="F44" s="10">
        <f t="shared" si="3"/>
        <v>2.018081703</v>
      </c>
      <c r="G44" s="11">
        <f t="shared" si="4"/>
        <v>89.27</v>
      </c>
      <c r="H44" s="10">
        <f t="shared" si="5"/>
        <v>91.721</v>
      </c>
      <c r="I44" s="10">
        <f t="shared" si="6"/>
        <v>28.23</v>
      </c>
      <c r="J44" s="12">
        <f t="shared" si="7"/>
        <v>31.623</v>
      </c>
      <c r="K44" s="17">
        <f t="shared" si="8"/>
        <v>0.901</v>
      </c>
      <c r="L44" s="10">
        <f t="shared" si="9"/>
        <v>0.18</v>
      </c>
      <c r="M44" s="10">
        <f t="shared" si="10"/>
        <v>0.05539582341</v>
      </c>
      <c r="N44" s="18">
        <f t="shared" si="11"/>
        <v>6.15</v>
      </c>
      <c r="O44" s="9">
        <f t="shared" si="12"/>
        <v>66</v>
      </c>
      <c r="P44" s="9">
        <f t="shared" si="13"/>
        <v>65.15</v>
      </c>
    </row>
    <row r="45">
      <c r="A45" s="8">
        <v>44.0</v>
      </c>
      <c r="B45" s="15">
        <v>1.273E-4</v>
      </c>
      <c r="C45" s="8">
        <v>0.039</v>
      </c>
      <c r="D45" s="9">
        <f t="shared" si="1"/>
        <v>12.73</v>
      </c>
      <c r="E45" s="16">
        <f t="shared" si="2"/>
        <v>1.05</v>
      </c>
      <c r="F45" s="10">
        <f t="shared" si="3"/>
        <v>2.016692199</v>
      </c>
      <c r="G45" s="11">
        <f t="shared" si="4"/>
        <v>87.54</v>
      </c>
      <c r="H45" s="10">
        <f t="shared" si="5"/>
        <v>91.38</v>
      </c>
      <c r="I45" s="10">
        <f t="shared" si="6"/>
        <v>27.78</v>
      </c>
      <c r="J45" s="12">
        <f t="shared" si="7"/>
        <v>31.734</v>
      </c>
      <c r="K45" s="17">
        <f t="shared" si="8"/>
        <v>0.905</v>
      </c>
      <c r="L45" s="10">
        <f t="shared" si="9"/>
        <v>0.18</v>
      </c>
      <c r="M45" s="10">
        <f t="shared" si="10"/>
        <v>0.05472500189</v>
      </c>
      <c r="N45" s="18">
        <f t="shared" si="11"/>
        <v>6.05</v>
      </c>
      <c r="O45" s="9">
        <f t="shared" si="12"/>
        <v>66</v>
      </c>
      <c r="P45" s="9">
        <f t="shared" si="13"/>
        <v>66.67</v>
      </c>
    </row>
    <row r="46">
      <c r="A46" s="8">
        <v>45.0</v>
      </c>
      <c r="B46" s="8">
        <v>0.01</v>
      </c>
      <c r="C46" s="8">
        <v>0.367</v>
      </c>
      <c r="D46" s="9">
        <f t="shared" si="1"/>
        <v>112.84</v>
      </c>
      <c r="E46" s="9">
        <f t="shared" si="2"/>
        <v>0.93</v>
      </c>
      <c r="F46" s="10">
        <f t="shared" si="3"/>
        <v>2.015367574</v>
      </c>
      <c r="G46" s="11">
        <f t="shared" si="4"/>
        <v>88.1</v>
      </c>
      <c r="H46" s="10">
        <f t="shared" si="5"/>
        <v>90.414</v>
      </c>
      <c r="I46" s="10">
        <f t="shared" si="6"/>
        <v>27.16</v>
      </c>
      <c r="J46" s="12">
        <f t="shared" si="7"/>
        <v>30.829</v>
      </c>
      <c r="K46" s="17">
        <f t="shared" si="8"/>
        <v>0.905</v>
      </c>
      <c r="L46" s="10">
        <f t="shared" si="9"/>
        <v>0.177</v>
      </c>
      <c r="M46" s="10">
        <f t="shared" si="10"/>
        <v>0.05317668697</v>
      </c>
      <c r="N46" s="18">
        <f t="shared" si="11"/>
        <v>5.88</v>
      </c>
      <c r="O46" s="9">
        <f t="shared" si="12"/>
        <v>66</v>
      </c>
      <c r="P46" s="9">
        <f t="shared" si="13"/>
        <v>68.18</v>
      </c>
    </row>
    <row r="47">
      <c r="A47" s="8">
        <v>46.0</v>
      </c>
      <c r="B47" s="15">
        <v>0.006</v>
      </c>
      <c r="C47" s="8">
        <v>0.284</v>
      </c>
      <c r="D47" s="9">
        <f t="shared" si="1"/>
        <v>87.4</v>
      </c>
      <c r="E47" s="16">
        <f t="shared" si="2"/>
        <v>0.93</v>
      </c>
      <c r="F47" s="10">
        <f t="shared" si="3"/>
        <v>2.014103389</v>
      </c>
      <c r="G47" s="11">
        <f t="shared" si="4"/>
        <v>88.08</v>
      </c>
      <c r="H47" s="10">
        <f t="shared" si="5"/>
        <v>89.404</v>
      </c>
      <c r="I47" s="10">
        <f t="shared" si="6"/>
        <v>26.55</v>
      </c>
      <c r="J47" s="12">
        <f t="shared" si="7"/>
        <v>30.143</v>
      </c>
      <c r="K47" s="17">
        <f t="shared" si="8"/>
        <v>0.906</v>
      </c>
      <c r="L47" s="10">
        <f t="shared" si="9"/>
        <v>0.176</v>
      </c>
      <c r="M47" s="10">
        <f t="shared" si="10"/>
        <v>0.05226554847</v>
      </c>
      <c r="N47" s="18">
        <f t="shared" si="11"/>
        <v>5.77</v>
      </c>
      <c r="O47" s="9">
        <f t="shared" si="12"/>
        <v>66</v>
      </c>
      <c r="P47" s="9">
        <f t="shared" si="13"/>
        <v>69.7</v>
      </c>
    </row>
    <row r="48">
      <c r="A48" s="8">
        <v>47.0</v>
      </c>
      <c r="B48" s="15">
        <v>0.03</v>
      </c>
      <c r="C48" s="8">
        <v>0.678</v>
      </c>
      <c r="D48" s="9">
        <f t="shared" si="1"/>
        <v>195.44</v>
      </c>
      <c r="E48" s="16">
        <f t="shared" si="2"/>
        <v>0.82</v>
      </c>
      <c r="F48" s="10">
        <f t="shared" si="3"/>
        <v>2.012895599</v>
      </c>
      <c r="G48" s="11">
        <f t="shared" si="4"/>
        <v>90.37</v>
      </c>
      <c r="H48" s="10">
        <f t="shared" si="5"/>
        <v>89.803</v>
      </c>
      <c r="I48" s="10">
        <f t="shared" si="6"/>
        <v>26.37</v>
      </c>
      <c r="J48" s="12">
        <f t="shared" si="7"/>
        <v>29.18</v>
      </c>
      <c r="K48" s="17">
        <f t="shared" si="8"/>
        <v>0.904</v>
      </c>
      <c r="L48" s="10">
        <f t="shared" si="9"/>
        <v>0.174</v>
      </c>
      <c r="M48" s="10">
        <f t="shared" si="10"/>
        <v>0.0510883139</v>
      </c>
      <c r="N48" s="18">
        <f t="shared" si="11"/>
        <v>5.65</v>
      </c>
      <c r="O48" s="9">
        <f t="shared" si="12"/>
        <v>66</v>
      </c>
      <c r="P48" s="9">
        <f t="shared" si="13"/>
        <v>71.21</v>
      </c>
    </row>
    <row r="49">
      <c r="A49" s="8">
        <v>48.0</v>
      </c>
      <c r="B49" s="8">
        <v>0.004</v>
      </c>
      <c r="C49" s="8">
        <v>0.228</v>
      </c>
      <c r="D49" s="9">
        <f t="shared" si="1"/>
        <v>71.36</v>
      </c>
      <c r="E49" s="9">
        <f t="shared" si="2"/>
        <v>0.97</v>
      </c>
      <c r="F49" s="10">
        <f t="shared" si="3"/>
        <v>2.011740514</v>
      </c>
      <c r="G49" s="11">
        <f t="shared" si="4"/>
        <v>89.97</v>
      </c>
      <c r="H49" s="10">
        <f t="shared" si="5"/>
        <v>88.885</v>
      </c>
      <c r="I49" s="10">
        <f t="shared" si="6"/>
        <v>25.81</v>
      </c>
      <c r="J49" s="12">
        <f t="shared" si="7"/>
        <v>28.687</v>
      </c>
      <c r="K49" s="17">
        <f t="shared" si="8"/>
        <v>0.905</v>
      </c>
      <c r="L49" s="10">
        <f t="shared" si="9"/>
        <v>0.172</v>
      </c>
      <c r="M49" s="10">
        <f t="shared" si="10"/>
        <v>0.04994359387</v>
      </c>
      <c r="N49" s="18">
        <f t="shared" si="11"/>
        <v>5.52</v>
      </c>
      <c r="O49" s="9">
        <f t="shared" si="12"/>
        <v>66</v>
      </c>
      <c r="P49" s="9">
        <f t="shared" si="13"/>
        <v>72.73</v>
      </c>
    </row>
    <row r="50">
      <c r="A50" s="8">
        <v>49.0</v>
      </c>
      <c r="B50" s="8">
        <v>0.005</v>
      </c>
      <c r="C50" s="8">
        <v>0.264</v>
      </c>
      <c r="D50" s="9">
        <f t="shared" si="1"/>
        <v>79.79</v>
      </c>
      <c r="E50" s="9">
        <f t="shared" si="2"/>
        <v>0.9</v>
      </c>
      <c r="F50" s="10">
        <f t="shared" si="3"/>
        <v>2.010634758</v>
      </c>
      <c r="G50" s="11">
        <f t="shared" si="4"/>
        <v>89.76</v>
      </c>
      <c r="H50" s="10">
        <f t="shared" si="5"/>
        <v>87.966</v>
      </c>
      <c r="I50" s="10">
        <f t="shared" si="6"/>
        <v>25.27</v>
      </c>
      <c r="J50" s="12">
        <f t="shared" si="7"/>
        <v>28.153</v>
      </c>
      <c r="K50" s="17">
        <f t="shared" si="8"/>
        <v>0.905</v>
      </c>
      <c r="L50" s="10">
        <f t="shared" si="9"/>
        <v>0.171</v>
      </c>
      <c r="M50" s="10">
        <f t="shared" si="10"/>
        <v>0.04911693479</v>
      </c>
      <c r="N50" s="18">
        <f t="shared" si="11"/>
        <v>5.43</v>
      </c>
      <c r="O50" s="9">
        <f t="shared" si="12"/>
        <v>66</v>
      </c>
      <c r="P50" s="9">
        <f t="shared" si="13"/>
        <v>74.24</v>
      </c>
    </row>
    <row r="51">
      <c r="A51" s="8">
        <v>50.0</v>
      </c>
      <c r="B51" s="15">
        <v>0.005</v>
      </c>
      <c r="C51" s="8">
        <v>0.278</v>
      </c>
      <c r="D51" s="9">
        <f t="shared" si="1"/>
        <v>79.79</v>
      </c>
      <c r="E51" s="16">
        <f t="shared" si="2"/>
        <v>0.81</v>
      </c>
      <c r="F51" s="10">
        <f t="shared" si="3"/>
        <v>2.009575237</v>
      </c>
      <c r="G51" s="11">
        <f t="shared" si="4"/>
        <v>89.56</v>
      </c>
      <c r="H51" s="10">
        <f t="shared" si="5"/>
        <v>87.075</v>
      </c>
      <c r="I51" s="10">
        <f t="shared" si="6"/>
        <v>24.75</v>
      </c>
      <c r="J51" s="12">
        <f t="shared" si="7"/>
        <v>27.635</v>
      </c>
      <c r="K51" s="17">
        <f t="shared" si="8"/>
        <v>0.903</v>
      </c>
      <c r="L51" s="10">
        <f t="shared" si="9"/>
        <v>0.169</v>
      </c>
      <c r="M51" s="10">
        <f t="shared" si="10"/>
        <v>0.04802926858</v>
      </c>
      <c r="N51" s="18">
        <f t="shared" si="11"/>
        <v>5.32</v>
      </c>
      <c r="O51" s="9">
        <f t="shared" si="12"/>
        <v>66</v>
      </c>
      <c r="P51" s="9">
        <f t="shared" si="13"/>
        <v>75.76</v>
      </c>
    </row>
    <row r="52">
      <c r="A52" s="8">
        <v>51.0</v>
      </c>
      <c r="B52" s="15">
        <v>0.022</v>
      </c>
      <c r="C52" s="8">
        <v>0.586</v>
      </c>
      <c r="D52" s="9">
        <f t="shared" si="1"/>
        <v>167.37</v>
      </c>
      <c r="E52" s="16">
        <f t="shared" si="2"/>
        <v>0.81</v>
      </c>
      <c r="F52" s="10">
        <f t="shared" si="3"/>
        <v>2.008559112</v>
      </c>
      <c r="G52" s="11">
        <f t="shared" si="4"/>
        <v>91.09</v>
      </c>
      <c r="H52" s="10">
        <f t="shared" si="5"/>
        <v>86.886</v>
      </c>
      <c r="I52" s="10">
        <f t="shared" si="6"/>
        <v>24.44</v>
      </c>
      <c r="J52" s="12">
        <f t="shared" si="7"/>
        <v>26.831</v>
      </c>
      <c r="K52" s="17">
        <f t="shared" si="8"/>
        <v>0.902</v>
      </c>
      <c r="L52" s="10">
        <f t="shared" si="9"/>
        <v>0.168</v>
      </c>
      <c r="M52" s="10">
        <f t="shared" si="10"/>
        <v>0.04725076141</v>
      </c>
      <c r="N52" s="18">
        <f t="shared" si="11"/>
        <v>5.24</v>
      </c>
      <c r="O52" s="9">
        <f t="shared" si="12"/>
        <v>66</v>
      </c>
      <c r="P52" s="9">
        <f t="shared" si="13"/>
        <v>77.27</v>
      </c>
    </row>
    <row r="53">
      <c r="A53" s="8">
        <v>52.0</v>
      </c>
      <c r="B53" s="8">
        <v>0.009</v>
      </c>
      <c r="C53" s="8">
        <v>0.423</v>
      </c>
      <c r="D53" s="9">
        <f t="shared" si="1"/>
        <v>107.05</v>
      </c>
      <c r="E53" s="9">
        <f t="shared" si="2"/>
        <v>0.63</v>
      </c>
      <c r="F53" s="10">
        <f t="shared" si="3"/>
        <v>2.00758377</v>
      </c>
      <c r="G53" s="11">
        <f t="shared" si="4"/>
        <v>91.4</v>
      </c>
      <c r="H53" s="10">
        <f t="shared" si="5"/>
        <v>86.058</v>
      </c>
      <c r="I53" s="10">
        <f t="shared" si="6"/>
        <v>23.96</v>
      </c>
      <c r="J53" s="12">
        <f t="shared" si="7"/>
        <v>26.214</v>
      </c>
      <c r="K53" s="17">
        <f t="shared" si="8"/>
        <v>0.896</v>
      </c>
      <c r="L53" s="10">
        <f t="shared" si="9"/>
        <v>0.171</v>
      </c>
      <c r="M53" s="10">
        <f t="shared" si="10"/>
        <v>0.04760670401</v>
      </c>
      <c r="N53" s="18">
        <f t="shared" si="11"/>
        <v>5.31</v>
      </c>
      <c r="O53" s="9">
        <f t="shared" si="12"/>
        <v>66</v>
      </c>
      <c r="P53" s="9">
        <f t="shared" si="13"/>
        <v>78.79</v>
      </c>
    </row>
    <row r="54">
      <c r="A54" s="8">
        <v>53.0</v>
      </c>
      <c r="B54" s="15">
        <v>0.009</v>
      </c>
      <c r="C54" s="8">
        <v>0.356</v>
      </c>
      <c r="D54" s="9">
        <f t="shared" si="1"/>
        <v>107.05</v>
      </c>
      <c r="E54" s="16">
        <f t="shared" si="2"/>
        <v>0.89</v>
      </c>
      <c r="F54" s="10">
        <f t="shared" si="3"/>
        <v>2.006646805</v>
      </c>
      <c r="G54" s="11">
        <f t="shared" si="4"/>
        <v>91.69</v>
      </c>
      <c r="H54" s="10">
        <f t="shared" si="5"/>
        <v>85.254</v>
      </c>
      <c r="I54" s="10">
        <f t="shared" si="6"/>
        <v>23.5</v>
      </c>
      <c r="J54" s="12">
        <f t="shared" si="7"/>
        <v>25.63</v>
      </c>
      <c r="K54" s="17">
        <f t="shared" si="8"/>
        <v>0.896</v>
      </c>
      <c r="L54" s="10">
        <f t="shared" si="9"/>
        <v>0.169</v>
      </c>
      <c r="M54" s="10">
        <f t="shared" si="10"/>
        <v>0.04658216912</v>
      </c>
      <c r="N54" s="18">
        <f t="shared" si="11"/>
        <v>5.2</v>
      </c>
      <c r="O54" s="9">
        <f t="shared" si="12"/>
        <v>66</v>
      </c>
      <c r="P54" s="9">
        <f t="shared" si="13"/>
        <v>80.3</v>
      </c>
    </row>
    <row r="55">
      <c r="A55" s="8">
        <v>54.0</v>
      </c>
      <c r="B55" s="8">
        <v>0.002</v>
      </c>
      <c r="C55" s="8">
        <v>0.151</v>
      </c>
      <c r="D55" s="9">
        <f t="shared" si="1"/>
        <v>50.46</v>
      </c>
      <c r="E55" s="9">
        <f t="shared" si="2"/>
        <v>1.1</v>
      </c>
      <c r="F55" s="10">
        <f t="shared" si="3"/>
        <v>2.005745995</v>
      </c>
      <c r="G55" s="11">
        <f t="shared" si="4"/>
        <v>90.93</v>
      </c>
      <c r="H55" s="10">
        <f t="shared" si="5"/>
        <v>84.632</v>
      </c>
      <c r="I55" s="10">
        <f t="shared" si="6"/>
        <v>23.1</v>
      </c>
      <c r="J55" s="12">
        <f t="shared" si="7"/>
        <v>25.404</v>
      </c>
      <c r="K55" s="17">
        <f t="shared" si="8"/>
        <v>0.9</v>
      </c>
      <c r="L55" s="10">
        <f t="shared" si="9"/>
        <v>0.17</v>
      </c>
      <c r="M55" s="10">
        <f t="shared" si="10"/>
        <v>0.04640106784</v>
      </c>
      <c r="N55" s="18">
        <f t="shared" si="11"/>
        <v>5.16</v>
      </c>
      <c r="O55" s="9">
        <f t="shared" si="12"/>
        <v>66</v>
      </c>
      <c r="P55" s="9">
        <f t="shared" si="13"/>
        <v>81.82</v>
      </c>
    </row>
    <row r="56">
      <c r="A56" s="8">
        <v>55.0</v>
      </c>
      <c r="B56" s="15">
        <v>8.275E-4</v>
      </c>
      <c r="C56" s="8">
        <v>0.105</v>
      </c>
      <c r="D56" s="9">
        <f t="shared" si="1"/>
        <v>32.46</v>
      </c>
      <c r="E56" s="16">
        <f t="shared" si="2"/>
        <v>0.94</v>
      </c>
      <c r="F56" s="10">
        <f t="shared" si="3"/>
        <v>2.004879288</v>
      </c>
      <c r="G56" s="11">
        <f t="shared" si="4"/>
        <v>89.86</v>
      </c>
      <c r="H56" s="10">
        <f t="shared" si="5"/>
        <v>84.214</v>
      </c>
      <c r="I56" s="10">
        <f t="shared" si="6"/>
        <v>22.77</v>
      </c>
      <c r="J56" s="12">
        <f t="shared" si="7"/>
        <v>25.339</v>
      </c>
      <c r="K56" s="17">
        <f t="shared" si="8"/>
        <v>0.901</v>
      </c>
      <c r="L56" s="10">
        <f t="shared" si="9"/>
        <v>0.168</v>
      </c>
      <c r="M56" s="10">
        <f t="shared" si="10"/>
        <v>0.04541676184</v>
      </c>
      <c r="N56" s="18">
        <f t="shared" si="11"/>
        <v>5.04</v>
      </c>
      <c r="O56" s="9">
        <f t="shared" si="12"/>
        <v>66</v>
      </c>
      <c r="P56" s="9">
        <f t="shared" si="13"/>
        <v>83.33</v>
      </c>
    </row>
    <row r="57">
      <c r="A57" s="8">
        <v>56.0</v>
      </c>
      <c r="B57" s="15">
        <v>0.007</v>
      </c>
      <c r="C57" s="8">
        <v>0.39</v>
      </c>
      <c r="D57" s="9">
        <f t="shared" si="1"/>
        <v>94.41</v>
      </c>
      <c r="E57" s="16">
        <f t="shared" si="2"/>
        <v>0.58</v>
      </c>
      <c r="F57" s="10">
        <f t="shared" si="3"/>
        <v>2.004044783</v>
      </c>
      <c r="G57" s="11">
        <f t="shared" si="4"/>
        <v>89.95</v>
      </c>
      <c r="H57" s="10">
        <f t="shared" si="5"/>
        <v>83.447</v>
      </c>
      <c r="I57" s="10">
        <f t="shared" si="6"/>
        <v>22.35</v>
      </c>
      <c r="J57" s="12">
        <f t="shared" si="7"/>
        <v>24.847</v>
      </c>
      <c r="K57" s="17">
        <f t="shared" si="8"/>
        <v>0.895</v>
      </c>
      <c r="L57" s="10">
        <f t="shared" si="9"/>
        <v>0.172</v>
      </c>
      <c r="M57" s="10">
        <f t="shared" si="10"/>
        <v>0.0460619008</v>
      </c>
      <c r="N57" s="18">
        <f t="shared" si="11"/>
        <v>5.15</v>
      </c>
      <c r="O57" s="9">
        <f t="shared" si="12"/>
        <v>66</v>
      </c>
      <c r="P57" s="9">
        <f t="shared" si="13"/>
        <v>84.85</v>
      </c>
    </row>
    <row r="58">
      <c r="A58" s="8">
        <v>57.0</v>
      </c>
      <c r="B58" s="8">
        <v>0.006</v>
      </c>
      <c r="C58" s="8">
        <v>0.293</v>
      </c>
      <c r="D58" s="9">
        <f t="shared" si="1"/>
        <v>87.4</v>
      </c>
      <c r="E58" s="9">
        <f t="shared" si="2"/>
        <v>0.88</v>
      </c>
      <c r="F58" s="10">
        <f t="shared" si="3"/>
        <v>2.003240719</v>
      </c>
      <c r="G58" s="11">
        <f t="shared" si="4"/>
        <v>89.9</v>
      </c>
      <c r="H58" s="10">
        <f t="shared" si="5"/>
        <v>82.7</v>
      </c>
      <c r="I58" s="10">
        <f t="shared" si="6"/>
        <v>21.94</v>
      </c>
      <c r="J58" s="12">
        <f t="shared" si="7"/>
        <v>24.405</v>
      </c>
      <c r="K58" s="17">
        <f t="shared" si="8"/>
        <v>0.895</v>
      </c>
      <c r="L58" s="10">
        <f t="shared" si="9"/>
        <v>0.171</v>
      </c>
      <c r="M58" s="10">
        <f t="shared" si="10"/>
        <v>0.04537240728</v>
      </c>
      <c r="N58" s="18">
        <f t="shared" si="11"/>
        <v>5.07</v>
      </c>
      <c r="O58" s="9">
        <f t="shared" si="12"/>
        <v>66</v>
      </c>
      <c r="P58" s="9">
        <f t="shared" si="13"/>
        <v>86.36</v>
      </c>
    </row>
    <row r="59">
      <c r="A59" s="8">
        <v>58.0</v>
      </c>
      <c r="B59" s="15">
        <v>3.183E-4</v>
      </c>
      <c r="C59" s="8">
        <v>0.063</v>
      </c>
      <c r="D59" s="9">
        <f t="shared" si="1"/>
        <v>20.13</v>
      </c>
      <c r="E59" s="16">
        <f t="shared" si="2"/>
        <v>1.01</v>
      </c>
      <c r="F59" s="10">
        <f t="shared" si="3"/>
        <v>2.002465459</v>
      </c>
      <c r="G59" s="11">
        <f t="shared" si="4"/>
        <v>88.7</v>
      </c>
      <c r="H59" s="10">
        <f t="shared" si="5"/>
        <v>82.481</v>
      </c>
      <c r="I59" s="10">
        <f t="shared" si="6"/>
        <v>21.69</v>
      </c>
      <c r="J59" s="12">
        <f t="shared" si="7"/>
        <v>24.453</v>
      </c>
      <c r="K59" s="17">
        <f t="shared" si="8"/>
        <v>0.897</v>
      </c>
      <c r="L59" s="10">
        <f t="shared" si="9"/>
        <v>0.17</v>
      </c>
      <c r="M59" s="10">
        <f t="shared" si="10"/>
        <v>0.04469922139</v>
      </c>
      <c r="N59" s="18">
        <f t="shared" si="11"/>
        <v>4.98</v>
      </c>
      <c r="O59" s="9">
        <f t="shared" si="12"/>
        <v>66</v>
      </c>
      <c r="P59" s="9">
        <f t="shared" si="13"/>
        <v>87.88</v>
      </c>
    </row>
    <row r="60">
      <c r="A60" s="8">
        <v>59.0</v>
      </c>
      <c r="B60" s="8">
        <v>0.001</v>
      </c>
      <c r="C60" s="8">
        <v>0.135</v>
      </c>
      <c r="D60" s="9">
        <f t="shared" si="1"/>
        <v>35.68</v>
      </c>
      <c r="E60" s="9">
        <f t="shared" si="2"/>
        <v>0.69</v>
      </c>
      <c r="F60" s="10">
        <f t="shared" si="3"/>
        <v>2.001717484</v>
      </c>
      <c r="G60" s="11">
        <f t="shared" si="4"/>
        <v>87.8</v>
      </c>
      <c r="H60" s="10">
        <f t="shared" si="5"/>
        <v>82.058</v>
      </c>
      <c r="I60" s="10">
        <f t="shared" si="6"/>
        <v>21.38</v>
      </c>
      <c r="J60" s="12">
        <f t="shared" si="7"/>
        <v>24.351</v>
      </c>
      <c r="K60" s="17">
        <f t="shared" si="8"/>
        <v>0.893</v>
      </c>
      <c r="L60" s="10">
        <f t="shared" si="9"/>
        <v>0.171</v>
      </c>
      <c r="M60" s="10">
        <f t="shared" si="10"/>
        <v>0.04456284271</v>
      </c>
      <c r="N60" s="18">
        <f t="shared" si="11"/>
        <v>4.99</v>
      </c>
      <c r="O60" s="9">
        <f t="shared" si="12"/>
        <v>66</v>
      </c>
      <c r="P60" s="9">
        <f t="shared" si="13"/>
        <v>89.39</v>
      </c>
    </row>
    <row r="61">
      <c r="A61" s="8">
        <v>60.0</v>
      </c>
      <c r="B61" s="15">
        <v>0.004</v>
      </c>
      <c r="C61" s="8">
        <v>0.217</v>
      </c>
      <c r="D61" s="9">
        <f t="shared" si="1"/>
        <v>71.36</v>
      </c>
      <c r="E61" s="16">
        <f t="shared" si="2"/>
        <v>1.07</v>
      </c>
      <c r="F61" s="10">
        <f t="shared" si="3"/>
        <v>2.000995378</v>
      </c>
      <c r="G61" s="11">
        <f t="shared" si="4"/>
        <v>87.53</v>
      </c>
      <c r="H61" s="10">
        <f t="shared" si="5"/>
        <v>81.387</v>
      </c>
      <c r="I61" s="10">
        <f t="shared" si="6"/>
        <v>21.02</v>
      </c>
      <c r="J61" s="12">
        <f t="shared" si="7"/>
        <v>24.015</v>
      </c>
      <c r="K61" s="17">
        <f t="shared" si="8"/>
        <v>0.896</v>
      </c>
      <c r="L61" s="10">
        <f t="shared" si="9"/>
        <v>0.171</v>
      </c>
      <c r="M61" s="10">
        <f t="shared" si="10"/>
        <v>0.04417398412</v>
      </c>
      <c r="N61" s="18">
        <f t="shared" si="11"/>
        <v>4.93</v>
      </c>
      <c r="O61" s="9">
        <f t="shared" si="12"/>
        <v>66</v>
      </c>
      <c r="P61" s="9">
        <f t="shared" si="13"/>
        <v>90.91</v>
      </c>
    </row>
    <row r="62">
      <c r="A62" s="8">
        <v>61.0</v>
      </c>
      <c r="B62" s="15">
        <v>0.004</v>
      </c>
      <c r="C62" s="8">
        <v>0.22</v>
      </c>
      <c r="D62" s="9">
        <f t="shared" si="1"/>
        <v>71.36</v>
      </c>
      <c r="E62" s="16">
        <f t="shared" si="2"/>
        <v>1.04</v>
      </c>
      <c r="F62" s="10">
        <f t="shared" si="3"/>
        <v>2.000297822</v>
      </c>
      <c r="G62" s="11">
        <f t="shared" si="4"/>
        <v>87.26</v>
      </c>
      <c r="H62" s="10">
        <f t="shared" si="5"/>
        <v>80.733</v>
      </c>
      <c r="I62" s="10">
        <f t="shared" si="6"/>
        <v>20.68</v>
      </c>
      <c r="J62" s="12">
        <f t="shared" si="7"/>
        <v>23.699</v>
      </c>
      <c r="K62" s="17">
        <f t="shared" si="8"/>
        <v>0.899</v>
      </c>
      <c r="L62" s="10">
        <f t="shared" si="9"/>
        <v>0.17</v>
      </c>
      <c r="M62" s="10">
        <f t="shared" si="10"/>
        <v>0.04353902165</v>
      </c>
      <c r="N62" s="18">
        <f t="shared" si="11"/>
        <v>4.84</v>
      </c>
      <c r="O62" s="9">
        <f t="shared" si="12"/>
        <v>66</v>
      </c>
      <c r="P62" s="9">
        <f t="shared" si="13"/>
        <v>92.42</v>
      </c>
    </row>
    <row r="63">
      <c r="A63" s="8">
        <v>62.0</v>
      </c>
      <c r="B63" s="15">
        <v>1.91E-5</v>
      </c>
      <c r="C63" s="8">
        <v>0.014</v>
      </c>
      <c r="D63" s="9">
        <f t="shared" si="1"/>
        <v>4.93</v>
      </c>
      <c r="E63" s="16">
        <f t="shared" si="2"/>
        <v>1.22</v>
      </c>
      <c r="F63" s="10">
        <f t="shared" si="3"/>
        <v>1.999623585</v>
      </c>
      <c r="G63" s="11">
        <f t="shared" si="4"/>
        <v>85.93</v>
      </c>
      <c r="H63" s="10">
        <f t="shared" si="5"/>
        <v>80.748</v>
      </c>
      <c r="I63" s="10">
        <f t="shared" si="6"/>
        <v>20.51</v>
      </c>
      <c r="J63" s="12">
        <f t="shared" si="7"/>
        <v>23.868</v>
      </c>
      <c r="K63" s="17">
        <f t="shared" si="8"/>
        <v>0.904</v>
      </c>
      <c r="L63" s="10">
        <f t="shared" si="9"/>
        <v>0.174</v>
      </c>
      <c r="M63" s="10">
        <f t="shared" si="10"/>
        <v>0.04418772617</v>
      </c>
      <c r="N63" s="18">
        <f t="shared" si="11"/>
        <v>4.89</v>
      </c>
      <c r="O63" s="9">
        <f t="shared" si="12"/>
        <v>66</v>
      </c>
      <c r="P63" s="9">
        <f t="shared" si="13"/>
        <v>93.94</v>
      </c>
    </row>
    <row r="64">
      <c r="A64" s="8">
        <v>63.0</v>
      </c>
      <c r="B64" s="15">
        <v>0.001</v>
      </c>
      <c r="C64" s="8">
        <v>0.123</v>
      </c>
      <c r="D64" s="9">
        <f t="shared" si="1"/>
        <v>35.68</v>
      </c>
      <c r="E64" s="16">
        <f t="shared" si="2"/>
        <v>0.83</v>
      </c>
      <c r="F64" s="10">
        <f t="shared" si="3"/>
        <v>1.998971517</v>
      </c>
      <c r="G64" s="11">
        <f t="shared" si="4"/>
        <v>85.14</v>
      </c>
      <c r="H64" s="10">
        <f t="shared" si="5"/>
        <v>80.344</v>
      </c>
      <c r="I64" s="10">
        <f t="shared" si="6"/>
        <v>20.23</v>
      </c>
      <c r="J64" s="12">
        <f t="shared" si="7"/>
        <v>23.761</v>
      </c>
      <c r="K64" s="17">
        <f t="shared" si="8"/>
        <v>0.903</v>
      </c>
      <c r="L64" s="10">
        <f t="shared" si="9"/>
        <v>0.172</v>
      </c>
      <c r="M64" s="10">
        <f t="shared" si="10"/>
        <v>0.04331763905</v>
      </c>
      <c r="N64" s="18">
        <f t="shared" si="11"/>
        <v>4.8</v>
      </c>
      <c r="O64" s="9">
        <f t="shared" si="12"/>
        <v>66</v>
      </c>
      <c r="P64" s="9">
        <f t="shared" si="13"/>
        <v>95.45</v>
      </c>
    </row>
    <row r="65">
      <c r="A65" s="8">
        <v>64.0</v>
      </c>
      <c r="B65" s="15">
        <v>1.91E-5</v>
      </c>
      <c r="C65" s="8">
        <v>0.014</v>
      </c>
      <c r="D65" s="9">
        <f t="shared" si="1"/>
        <v>4.93</v>
      </c>
      <c r="E65" s="16">
        <f t="shared" si="2"/>
        <v>1.22</v>
      </c>
      <c r="F65" s="10">
        <f t="shared" si="3"/>
        <v>1.998340543</v>
      </c>
      <c r="G65" s="11">
        <f t="shared" si="4"/>
        <v>83.88</v>
      </c>
      <c r="H65" s="10">
        <f t="shared" si="5"/>
        <v>80.332</v>
      </c>
      <c r="I65" s="10">
        <f t="shared" si="6"/>
        <v>20.07</v>
      </c>
      <c r="J65" s="12">
        <f t="shared" si="7"/>
        <v>23.927</v>
      </c>
      <c r="K65" s="17">
        <f t="shared" si="8"/>
        <v>0.908</v>
      </c>
      <c r="L65" s="10">
        <f t="shared" si="9"/>
        <v>0.176</v>
      </c>
      <c r="M65" s="10">
        <f t="shared" si="10"/>
        <v>0.04396349194</v>
      </c>
      <c r="N65" s="18">
        <f t="shared" si="11"/>
        <v>4.84</v>
      </c>
      <c r="O65" s="9">
        <f t="shared" si="12"/>
        <v>66</v>
      </c>
      <c r="P65" s="9">
        <f t="shared" si="13"/>
        <v>96.97</v>
      </c>
    </row>
    <row r="66">
      <c r="A66" s="8">
        <v>65.0</v>
      </c>
      <c r="B66" s="15">
        <v>0.202</v>
      </c>
      <c r="C66" s="8">
        <v>2.883</v>
      </c>
      <c r="D66" s="9">
        <f t="shared" si="1"/>
        <v>507.14</v>
      </c>
      <c r="E66" s="16">
        <f t="shared" si="2"/>
        <v>0.31</v>
      </c>
      <c r="F66" s="10">
        <f t="shared" si="3"/>
        <v>1.997729654</v>
      </c>
      <c r="G66" s="11">
        <f t="shared" si="4"/>
        <v>90.39</v>
      </c>
      <c r="H66" s="10">
        <f t="shared" si="5"/>
        <v>95.439</v>
      </c>
      <c r="I66" s="10">
        <f t="shared" si="6"/>
        <v>23.65</v>
      </c>
      <c r="J66" s="12">
        <f t="shared" si="7"/>
        <v>26.164</v>
      </c>
      <c r="K66" s="17">
        <f t="shared" si="8"/>
        <v>0.898</v>
      </c>
      <c r="L66" s="10">
        <f t="shared" si="9"/>
        <v>0.189</v>
      </c>
      <c r="M66" s="10">
        <f t="shared" si="10"/>
        <v>0.04683190695</v>
      </c>
      <c r="N66" s="18">
        <f t="shared" si="11"/>
        <v>5.22</v>
      </c>
      <c r="O66" s="9">
        <f t="shared" si="12"/>
        <v>66</v>
      </c>
      <c r="P66" s="9">
        <f t="shared" si="13"/>
        <v>98.48</v>
      </c>
    </row>
    <row r="67">
      <c r="A67" s="8">
        <v>66.0</v>
      </c>
      <c r="B67" s="15">
        <v>0.005</v>
      </c>
      <c r="C67" s="8">
        <v>0.259</v>
      </c>
      <c r="D67" s="9">
        <f t="shared" si="1"/>
        <v>79.79</v>
      </c>
      <c r="E67" s="16">
        <f t="shared" si="2"/>
        <v>0.94</v>
      </c>
      <c r="F67" s="10">
        <f t="shared" si="3"/>
        <v>1.997137908</v>
      </c>
      <c r="G67" s="11">
        <f t="shared" si="4"/>
        <v>90.23</v>
      </c>
      <c r="H67" s="10">
        <f t="shared" si="5"/>
        <v>94.711</v>
      </c>
      <c r="I67" s="10">
        <f t="shared" si="6"/>
        <v>23.28</v>
      </c>
      <c r="J67" s="12">
        <f t="shared" si="7"/>
        <v>25.801</v>
      </c>
      <c r="K67" s="17">
        <f t="shared" si="8"/>
        <v>0.899</v>
      </c>
      <c r="L67" s="10">
        <f t="shared" si="9"/>
        <v>0.188</v>
      </c>
      <c r="M67" s="10">
        <f t="shared" si="10"/>
        <v>0.04621616837</v>
      </c>
      <c r="N67" s="18">
        <f t="shared" si="11"/>
        <v>5.14</v>
      </c>
      <c r="O67" s="9">
        <f t="shared" si="12"/>
        <v>66</v>
      </c>
      <c r="P67" s="9">
        <f t="shared" si="13"/>
        <v>100</v>
      </c>
    </row>
    <row r="68">
      <c r="D68" s="9"/>
      <c r="E68" s="9"/>
      <c r="F68" s="10"/>
      <c r="G68" s="11"/>
      <c r="H68" s="10"/>
      <c r="I68" s="10"/>
      <c r="J68" s="12"/>
      <c r="K68" s="13"/>
      <c r="L68" s="10"/>
      <c r="M68" s="10"/>
      <c r="N68" s="14"/>
      <c r="O68" s="9"/>
      <c r="P68" s="9"/>
    </row>
    <row r="69">
      <c r="B69" s="15"/>
      <c r="D69" s="9"/>
      <c r="E69" s="9"/>
      <c r="F69" s="10"/>
      <c r="G69" s="11"/>
      <c r="H69" s="10"/>
      <c r="I69" s="10"/>
      <c r="J69" s="12"/>
      <c r="K69" s="13"/>
      <c r="L69" s="10"/>
      <c r="M69" s="10"/>
      <c r="N69" s="14"/>
      <c r="O69" s="9"/>
      <c r="P69" s="9"/>
    </row>
    <row r="70">
      <c r="B70" s="15"/>
      <c r="D70" s="9"/>
      <c r="E70" s="9"/>
      <c r="F70" s="10"/>
      <c r="G70" s="11"/>
      <c r="H70" s="10"/>
      <c r="I70" s="10"/>
      <c r="J70" s="12"/>
      <c r="K70" s="13"/>
      <c r="L70" s="10"/>
      <c r="M70" s="10"/>
      <c r="N70" s="14"/>
      <c r="O70" s="9"/>
      <c r="P70" s="9"/>
    </row>
    <row r="71">
      <c r="B71" s="15"/>
      <c r="D71" s="9"/>
      <c r="E71" s="9"/>
      <c r="F71" s="10"/>
      <c r="G71" s="11"/>
      <c r="H71" s="10"/>
      <c r="I71" s="10"/>
      <c r="J71" s="12"/>
      <c r="K71" s="13"/>
      <c r="L71" s="10"/>
      <c r="M71" s="10"/>
      <c r="N71" s="14"/>
      <c r="O71" s="9"/>
      <c r="P71" s="9"/>
    </row>
    <row r="72">
      <c r="B72" s="15"/>
      <c r="D72" s="9"/>
      <c r="E72" s="9"/>
      <c r="F72" s="10"/>
      <c r="G72" s="11"/>
      <c r="H72" s="10"/>
      <c r="I72" s="10"/>
      <c r="J72" s="12"/>
      <c r="K72" s="13"/>
      <c r="L72" s="10"/>
      <c r="M72" s="10"/>
      <c r="N72" s="14"/>
      <c r="O72" s="9"/>
      <c r="P72" s="9"/>
    </row>
    <row r="73">
      <c r="B73" s="15"/>
      <c r="D73" s="9"/>
      <c r="E73" s="9"/>
      <c r="F73" s="10"/>
      <c r="G73" s="11"/>
      <c r="H73" s="10"/>
      <c r="I73" s="10"/>
      <c r="J73" s="12"/>
      <c r="K73" s="13"/>
      <c r="L73" s="10"/>
      <c r="M73" s="10"/>
      <c r="N73" s="14"/>
      <c r="O73" s="9"/>
      <c r="P73" s="9"/>
    </row>
    <row r="74">
      <c r="B74" s="15"/>
      <c r="D74" s="9"/>
      <c r="E74" s="9"/>
      <c r="F74" s="10"/>
      <c r="G74" s="11"/>
      <c r="H74" s="10"/>
      <c r="I74" s="10"/>
      <c r="J74" s="12"/>
      <c r="K74" s="13"/>
      <c r="L74" s="10"/>
      <c r="M74" s="10"/>
      <c r="N74" s="14"/>
      <c r="O74" s="9"/>
      <c r="P74" s="9"/>
    </row>
    <row r="75">
      <c r="B75" s="15"/>
      <c r="D75" s="9"/>
      <c r="E75" s="9"/>
      <c r="F75" s="10"/>
      <c r="G75" s="11"/>
      <c r="H75" s="10"/>
      <c r="I75" s="10"/>
      <c r="J75" s="12"/>
      <c r="K75" s="13"/>
      <c r="L75" s="10"/>
      <c r="M75" s="10"/>
      <c r="N75" s="14"/>
      <c r="O75" s="9"/>
      <c r="P75" s="9"/>
    </row>
    <row r="76">
      <c r="D76" s="9"/>
      <c r="E76" s="9"/>
      <c r="F76" s="10"/>
      <c r="G76" s="11"/>
      <c r="H76" s="10"/>
      <c r="I76" s="10"/>
      <c r="J76" s="12"/>
      <c r="K76" s="13"/>
      <c r="L76" s="10"/>
      <c r="M76" s="10"/>
      <c r="N76" s="14"/>
      <c r="O76" s="9"/>
      <c r="P76" s="9"/>
    </row>
    <row r="77">
      <c r="B77" s="15"/>
      <c r="D77" s="9"/>
      <c r="E77" s="9"/>
      <c r="F77" s="10"/>
      <c r="G77" s="11"/>
      <c r="H77" s="10"/>
      <c r="I77" s="10"/>
      <c r="J77" s="12"/>
      <c r="K77" s="13"/>
      <c r="L77" s="10"/>
      <c r="M77" s="10"/>
      <c r="N77" s="14"/>
      <c r="O77" s="9"/>
      <c r="P77" s="9"/>
    </row>
    <row r="78">
      <c r="B78" s="15"/>
      <c r="D78" s="9"/>
      <c r="E78" s="9"/>
      <c r="F78" s="10"/>
      <c r="G78" s="11"/>
      <c r="H78" s="10"/>
      <c r="I78" s="10"/>
      <c r="J78" s="12"/>
      <c r="K78" s="13"/>
      <c r="L78" s="10"/>
      <c r="M78" s="10"/>
      <c r="N78" s="14"/>
      <c r="O78" s="9"/>
      <c r="P78" s="9"/>
    </row>
    <row r="79">
      <c r="D79" s="9"/>
      <c r="E79" s="9"/>
      <c r="F79" s="10"/>
      <c r="G79" s="11"/>
      <c r="H79" s="10"/>
      <c r="I79" s="10"/>
      <c r="J79" s="12"/>
      <c r="K79" s="13"/>
      <c r="L79" s="10"/>
      <c r="M79" s="10"/>
      <c r="N79" s="14"/>
      <c r="O79" s="9"/>
      <c r="P79" s="9"/>
    </row>
    <row r="80">
      <c r="B80" s="15"/>
      <c r="D80" s="9"/>
      <c r="E80" s="9"/>
      <c r="F80" s="10"/>
      <c r="G80" s="11"/>
      <c r="H80" s="10"/>
      <c r="I80" s="10"/>
      <c r="J80" s="12"/>
      <c r="K80" s="13"/>
      <c r="L80" s="10"/>
      <c r="M80" s="10"/>
      <c r="N80" s="14"/>
      <c r="O80" s="9"/>
      <c r="P80" s="9"/>
    </row>
    <row r="81">
      <c r="D81" s="9"/>
      <c r="E81" s="9"/>
      <c r="F81" s="10"/>
      <c r="G81" s="11"/>
      <c r="H81" s="10"/>
      <c r="I81" s="10"/>
      <c r="J81" s="12"/>
      <c r="K81" s="13"/>
      <c r="L81" s="10"/>
      <c r="M81" s="10"/>
      <c r="N81" s="14"/>
      <c r="O81" s="9"/>
      <c r="P81" s="9"/>
    </row>
    <row r="82">
      <c r="D82" s="9"/>
      <c r="E82" s="9"/>
      <c r="F82" s="10"/>
      <c r="G82" s="11"/>
      <c r="H82" s="10"/>
      <c r="I82" s="10"/>
      <c r="J82" s="12"/>
      <c r="K82" s="13"/>
      <c r="L82" s="10"/>
      <c r="M82" s="10"/>
      <c r="N82" s="14"/>
      <c r="O82" s="9"/>
      <c r="P82" s="9"/>
    </row>
    <row r="83">
      <c r="B83" s="15"/>
      <c r="D83" s="9"/>
      <c r="E83" s="9"/>
      <c r="F83" s="10"/>
      <c r="G83" s="11"/>
      <c r="H83" s="10"/>
      <c r="I83" s="10"/>
      <c r="J83" s="12"/>
      <c r="K83" s="13"/>
      <c r="L83" s="10"/>
      <c r="M83" s="10"/>
      <c r="N83" s="14"/>
      <c r="O83" s="9"/>
      <c r="P83" s="9"/>
    </row>
    <row r="84">
      <c r="D84" s="9"/>
      <c r="E84" s="9"/>
      <c r="F84" s="10"/>
      <c r="G84" s="11"/>
      <c r="H84" s="10"/>
      <c r="I84" s="10"/>
      <c r="J84" s="12"/>
      <c r="K84" s="13"/>
      <c r="L84" s="10"/>
      <c r="M84" s="10"/>
      <c r="N84" s="14"/>
      <c r="O84" s="9"/>
      <c r="P84" s="9"/>
    </row>
    <row r="85">
      <c r="B85" s="15"/>
      <c r="D85" s="9"/>
      <c r="E85" s="9"/>
      <c r="F85" s="10"/>
      <c r="G85" s="11"/>
      <c r="H85" s="10"/>
      <c r="I85" s="10"/>
      <c r="J85" s="12"/>
      <c r="K85" s="13"/>
      <c r="L85" s="10"/>
      <c r="M85" s="10"/>
      <c r="N85" s="14"/>
      <c r="O85" s="9"/>
      <c r="P85" s="9"/>
    </row>
    <row r="86">
      <c r="B86" s="15"/>
      <c r="D86" s="9"/>
      <c r="E86" s="9"/>
      <c r="F86" s="10"/>
      <c r="G86" s="11"/>
      <c r="H86" s="10"/>
      <c r="I86" s="10"/>
      <c r="J86" s="12"/>
      <c r="K86" s="13"/>
      <c r="L86" s="10"/>
      <c r="M86" s="10"/>
      <c r="N86" s="14"/>
      <c r="O86" s="9"/>
      <c r="P86" s="9"/>
    </row>
    <row r="87">
      <c r="B87" s="15"/>
      <c r="D87" s="9"/>
      <c r="E87" s="9"/>
      <c r="F87" s="10"/>
      <c r="G87" s="11"/>
      <c r="H87" s="10"/>
      <c r="I87" s="10"/>
      <c r="J87" s="12"/>
      <c r="K87" s="13"/>
      <c r="L87" s="10"/>
      <c r="M87" s="10"/>
      <c r="N87" s="14"/>
      <c r="O87" s="9"/>
      <c r="P87" s="9"/>
    </row>
    <row r="88">
      <c r="D88" s="9"/>
      <c r="E88" s="9"/>
      <c r="F88" s="10"/>
      <c r="G88" s="11"/>
      <c r="H88" s="10"/>
      <c r="I88" s="10"/>
      <c r="J88" s="12"/>
      <c r="K88" s="13"/>
      <c r="L88" s="10"/>
      <c r="M88" s="10"/>
      <c r="N88" s="14"/>
      <c r="O88" s="9"/>
      <c r="P88" s="9"/>
    </row>
    <row r="89">
      <c r="D89" s="9"/>
      <c r="E89" s="9"/>
      <c r="F89" s="10"/>
      <c r="G89" s="11"/>
      <c r="H89" s="10"/>
      <c r="I89" s="10"/>
      <c r="J89" s="12"/>
      <c r="K89" s="13"/>
      <c r="L89" s="10"/>
      <c r="M89" s="10"/>
      <c r="N89" s="14"/>
      <c r="O89" s="9"/>
      <c r="P89" s="9"/>
    </row>
    <row r="90">
      <c r="B90" s="15"/>
      <c r="D90" s="9"/>
      <c r="E90" s="9"/>
      <c r="F90" s="10"/>
      <c r="G90" s="11"/>
      <c r="H90" s="10"/>
      <c r="I90" s="10"/>
      <c r="J90" s="12"/>
      <c r="K90" s="13"/>
      <c r="L90" s="10"/>
      <c r="M90" s="10"/>
      <c r="N90" s="14"/>
      <c r="O90" s="9"/>
      <c r="P90" s="9"/>
    </row>
    <row r="91">
      <c r="D91" s="9"/>
      <c r="E91" s="9"/>
      <c r="F91" s="10"/>
      <c r="G91" s="11"/>
      <c r="H91" s="10"/>
      <c r="I91" s="10"/>
      <c r="J91" s="12"/>
      <c r="K91" s="13"/>
      <c r="L91" s="10"/>
      <c r="M91" s="10"/>
      <c r="N91" s="14"/>
      <c r="O91" s="9"/>
      <c r="P91" s="9"/>
    </row>
    <row r="92">
      <c r="B92" s="15"/>
      <c r="D92" s="9"/>
      <c r="E92" s="9"/>
      <c r="F92" s="10"/>
      <c r="G92" s="11"/>
      <c r="H92" s="10"/>
      <c r="I92" s="10"/>
      <c r="J92" s="12"/>
      <c r="K92" s="13"/>
      <c r="L92" s="10"/>
      <c r="M92" s="10"/>
      <c r="N92" s="14"/>
      <c r="O92" s="9"/>
      <c r="P92" s="9"/>
    </row>
    <row r="93">
      <c r="B93" s="15"/>
      <c r="D93" s="9"/>
      <c r="E93" s="9"/>
      <c r="F93" s="10"/>
      <c r="G93" s="11"/>
      <c r="H93" s="10"/>
      <c r="I93" s="10"/>
      <c r="J93" s="12"/>
      <c r="K93" s="13"/>
      <c r="L93" s="10"/>
      <c r="M93" s="10"/>
      <c r="N93" s="14"/>
      <c r="O93" s="9"/>
      <c r="P93" s="9"/>
    </row>
    <row r="94">
      <c r="B94" s="15"/>
      <c r="D94" s="9"/>
      <c r="E94" s="9"/>
      <c r="F94" s="10"/>
      <c r="G94" s="11"/>
      <c r="H94" s="10"/>
      <c r="I94" s="10"/>
      <c r="J94" s="12"/>
      <c r="K94" s="13"/>
      <c r="L94" s="10"/>
      <c r="M94" s="10"/>
      <c r="N94" s="14"/>
      <c r="O94" s="9"/>
      <c r="P94" s="9"/>
    </row>
    <row r="95">
      <c r="D95" s="9"/>
      <c r="E95" s="9"/>
      <c r="F95" s="10"/>
      <c r="G95" s="11"/>
      <c r="H95" s="10"/>
      <c r="I95" s="10"/>
      <c r="J95" s="12"/>
      <c r="K95" s="13"/>
      <c r="L95" s="10"/>
      <c r="M95" s="10"/>
      <c r="N95" s="14"/>
      <c r="O95" s="9"/>
      <c r="P95" s="9"/>
    </row>
    <row r="96">
      <c r="B96" s="15"/>
      <c r="D96" s="9"/>
      <c r="E96" s="9"/>
      <c r="F96" s="10"/>
      <c r="G96" s="11"/>
      <c r="H96" s="10"/>
      <c r="I96" s="10"/>
      <c r="J96" s="12"/>
      <c r="K96" s="13"/>
      <c r="L96" s="10"/>
      <c r="M96" s="10"/>
      <c r="N96" s="14"/>
      <c r="O96" s="9"/>
      <c r="P96" s="9"/>
    </row>
    <row r="97">
      <c r="B97" s="15"/>
      <c r="D97" s="9"/>
      <c r="E97" s="9"/>
      <c r="F97" s="10"/>
      <c r="G97" s="11"/>
      <c r="H97" s="10"/>
      <c r="I97" s="10"/>
      <c r="J97" s="12"/>
      <c r="K97" s="13"/>
      <c r="L97" s="10"/>
      <c r="M97" s="10"/>
      <c r="N97" s="14"/>
      <c r="O97" s="9"/>
      <c r="P97" s="9"/>
    </row>
    <row r="98">
      <c r="B98" s="15"/>
      <c r="D98" s="9"/>
      <c r="E98" s="9"/>
      <c r="F98" s="10"/>
      <c r="G98" s="11"/>
      <c r="H98" s="10"/>
      <c r="I98" s="10"/>
      <c r="J98" s="12"/>
      <c r="K98" s="13"/>
      <c r="L98" s="10"/>
      <c r="M98" s="10"/>
      <c r="N98" s="14"/>
      <c r="O98" s="9"/>
      <c r="P98" s="9"/>
    </row>
    <row r="99">
      <c r="D99" s="9"/>
      <c r="E99" s="9"/>
      <c r="F99" s="10"/>
      <c r="G99" s="11"/>
      <c r="H99" s="10"/>
      <c r="I99" s="10"/>
      <c r="J99" s="12"/>
      <c r="K99" s="13"/>
      <c r="L99" s="10"/>
      <c r="M99" s="10"/>
      <c r="N99" s="14"/>
      <c r="O99" s="9"/>
      <c r="P99" s="9"/>
    </row>
    <row r="100">
      <c r="B100" s="15"/>
      <c r="D100" s="9"/>
      <c r="E100" s="9"/>
      <c r="F100" s="10"/>
      <c r="G100" s="11"/>
      <c r="H100" s="10"/>
      <c r="I100" s="10"/>
      <c r="J100" s="12"/>
      <c r="K100" s="13"/>
      <c r="L100" s="10"/>
      <c r="M100" s="10"/>
      <c r="N100" s="14"/>
      <c r="O100" s="9"/>
      <c r="P100" s="9"/>
    </row>
    <row r="101">
      <c r="B101" s="15"/>
      <c r="D101" s="9"/>
      <c r="E101" s="9"/>
      <c r="F101" s="10"/>
      <c r="G101" s="11"/>
      <c r="H101" s="10"/>
      <c r="I101" s="10"/>
      <c r="J101" s="12"/>
      <c r="K101" s="13"/>
      <c r="L101" s="10"/>
      <c r="M101" s="10"/>
      <c r="N101" s="14"/>
      <c r="O101" s="9"/>
      <c r="P101" s="9"/>
    </row>
    <row r="102">
      <c r="D102" s="9"/>
      <c r="E102" s="9"/>
      <c r="F102" s="10"/>
      <c r="G102" s="11"/>
      <c r="H102" s="10"/>
      <c r="I102" s="10"/>
      <c r="J102" s="12"/>
      <c r="K102" s="13"/>
      <c r="L102" s="10"/>
      <c r="M102" s="10"/>
      <c r="N102" s="14"/>
      <c r="O102" s="9"/>
      <c r="P102" s="9"/>
    </row>
    <row r="103">
      <c r="D103" s="9"/>
      <c r="E103" s="9"/>
      <c r="F103" s="10"/>
      <c r="G103" s="11"/>
      <c r="H103" s="10"/>
      <c r="I103" s="10"/>
      <c r="J103" s="12"/>
      <c r="K103" s="13"/>
      <c r="L103" s="10"/>
      <c r="M103" s="10"/>
      <c r="N103" s="14"/>
      <c r="O103" s="9"/>
      <c r="P103" s="9"/>
    </row>
    <row r="104">
      <c r="B104" s="15"/>
      <c r="D104" s="9"/>
      <c r="E104" s="9"/>
      <c r="F104" s="10"/>
      <c r="G104" s="11"/>
      <c r="H104" s="10"/>
      <c r="I104" s="10"/>
      <c r="J104" s="12"/>
      <c r="K104" s="13"/>
      <c r="L104" s="10"/>
      <c r="M104" s="10"/>
      <c r="N104" s="14"/>
      <c r="O104" s="9"/>
      <c r="P104" s="9"/>
    </row>
    <row r="105">
      <c r="B105" s="15"/>
      <c r="D105" s="9"/>
      <c r="E105" s="9"/>
      <c r="F105" s="10"/>
      <c r="G105" s="11"/>
      <c r="H105" s="10"/>
      <c r="I105" s="10"/>
      <c r="J105" s="12"/>
      <c r="K105" s="13"/>
      <c r="L105" s="10"/>
      <c r="M105" s="10"/>
      <c r="N105" s="14"/>
      <c r="O105" s="9"/>
      <c r="P105" s="9"/>
    </row>
    <row r="106">
      <c r="D106" s="9"/>
      <c r="E106" s="9"/>
      <c r="F106" s="10"/>
      <c r="G106" s="11"/>
      <c r="H106" s="10"/>
      <c r="I106" s="10"/>
      <c r="J106" s="12"/>
      <c r="K106" s="13"/>
      <c r="L106" s="10"/>
      <c r="M106" s="10"/>
      <c r="N106" s="14"/>
      <c r="O106" s="9"/>
      <c r="P106" s="9"/>
    </row>
    <row r="107">
      <c r="D107" s="9"/>
      <c r="E107" s="9"/>
      <c r="F107" s="10"/>
      <c r="G107" s="11"/>
      <c r="H107" s="10"/>
      <c r="I107" s="10"/>
      <c r="J107" s="12"/>
      <c r="K107" s="13"/>
      <c r="L107" s="10"/>
      <c r="M107" s="10"/>
      <c r="N107" s="14"/>
      <c r="O107" s="9"/>
      <c r="P107" s="9"/>
    </row>
    <row r="108">
      <c r="D108" s="9"/>
      <c r="E108" s="9"/>
      <c r="F108" s="10"/>
      <c r="G108" s="11"/>
      <c r="H108" s="10"/>
      <c r="I108" s="10"/>
      <c r="J108" s="12"/>
      <c r="K108" s="13"/>
      <c r="L108" s="10"/>
      <c r="M108" s="10"/>
      <c r="N108" s="14"/>
      <c r="O108" s="9"/>
      <c r="P108" s="9"/>
    </row>
    <row r="109">
      <c r="D109" s="9"/>
      <c r="E109" s="9"/>
      <c r="F109" s="10"/>
      <c r="G109" s="11"/>
      <c r="H109" s="10"/>
      <c r="I109" s="10"/>
      <c r="J109" s="12"/>
      <c r="K109" s="13"/>
      <c r="L109" s="10"/>
      <c r="M109" s="10"/>
      <c r="N109" s="14"/>
      <c r="O109" s="9"/>
      <c r="P109" s="9"/>
    </row>
    <row r="110">
      <c r="B110" s="15"/>
      <c r="D110" s="9"/>
      <c r="E110" s="9"/>
      <c r="F110" s="10"/>
      <c r="G110" s="11"/>
      <c r="H110" s="10"/>
      <c r="I110" s="10"/>
      <c r="J110" s="12"/>
      <c r="K110" s="13"/>
      <c r="L110" s="10"/>
      <c r="M110" s="10"/>
      <c r="N110" s="14"/>
      <c r="O110" s="9"/>
      <c r="P110" s="9"/>
    </row>
    <row r="111">
      <c r="B111" s="15"/>
      <c r="D111" s="9"/>
      <c r="E111" s="9"/>
      <c r="F111" s="10"/>
      <c r="G111" s="11"/>
      <c r="H111" s="10"/>
      <c r="I111" s="10"/>
      <c r="J111" s="12"/>
      <c r="K111" s="13"/>
      <c r="L111" s="10"/>
      <c r="M111" s="10"/>
      <c r="N111" s="14"/>
      <c r="O111" s="9"/>
      <c r="P111" s="9"/>
    </row>
    <row r="112">
      <c r="B112" s="15"/>
      <c r="D112" s="9"/>
      <c r="E112" s="9"/>
      <c r="F112" s="10"/>
      <c r="G112" s="11"/>
      <c r="H112" s="10"/>
      <c r="I112" s="10"/>
      <c r="J112" s="12"/>
      <c r="K112" s="13"/>
      <c r="L112" s="10"/>
      <c r="M112" s="10"/>
      <c r="N112" s="14"/>
      <c r="O112" s="9"/>
      <c r="P112" s="9"/>
    </row>
    <row r="113">
      <c r="B113" s="15"/>
      <c r="D113" s="9"/>
      <c r="E113" s="9"/>
      <c r="F113" s="10"/>
      <c r="G113" s="11"/>
      <c r="H113" s="10"/>
      <c r="I113" s="10"/>
      <c r="J113" s="12"/>
      <c r="K113" s="13"/>
      <c r="L113" s="10"/>
      <c r="M113" s="10"/>
      <c r="N113" s="14"/>
      <c r="O113" s="9"/>
      <c r="P113" s="9"/>
    </row>
    <row r="114">
      <c r="D114" s="9"/>
      <c r="E114" s="9"/>
      <c r="F114" s="10"/>
      <c r="G114" s="11"/>
      <c r="H114" s="10"/>
      <c r="I114" s="10"/>
      <c r="J114" s="12"/>
      <c r="K114" s="13"/>
      <c r="L114" s="10"/>
      <c r="M114" s="10"/>
      <c r="N114" s="14"/>
      <c r="O114" s="9"/>
      <c r="P114" s="9"/>
    </row>
    <row r="115">
      <c r="B115" s="15"/>
      <c r="D115" s="9"/>
      <c r="E115" s="9"/>
      <c r="F115" s="10"/>
      <c r="G115" s="11"/>
      <c r="H115" s="10"/>
      <c r="I115" s="10"/>
      <c r="J115" s="12"/>
      <c r="K115" s="13"/>
      <c r="L115" s="10"/>
      <c r="M115" s="10"/>
      <c r="N115" s="14"/>
      <c r="O115" s="9"/>
      <c r="P115" s="9"/>
    </row>
    <row r="116">
      <c r="D116" s="9"/>
      <c r="E116" s="9"/>
      <c r="F116" s="10"/>
      <c r="G116" s="11"/>
      <c r="H116" s="10"/>
      <c r="I116" s="10"/>
      <c r="J116" s="12"/>
      <c r="K116" s="13"/>
      <c r="L116" s="10"/>
      <c r="M116" s="10"/>
      <c r="N116" s="14"/>
      <c r="O116" s="9"/>
      <c r="P116" s="9"/>
    </row>
    <row r="117">
      <c r="D117" s="9"/>
      <c r="E117" s="9"/>
      <c r="F117" s="10"/>
      <c r="G117" s="11"/>
      <c r="H117" s="10"/>
      <c r="I117" s="10"/>
      <c r="J117" s="12"/>
      <c r="K117" s="13"/>
      <c r="L117" s="10"/>
      <c r="M117" s="10"/>
      <c r="N117" s="14"/>
      <c r="O117" s="9"/>
      <c r="P117" s="9"/>
    </row>
    <row r="118">
      <c r="D118" s="9"/>
      <c r="E118" s="9"/>
      <c r="F118" s="10"/>
      <c r="G118" s="11"/>
      <c r="H118" s="10"/>
      <c r="I118" s="10"/>
      <c r="J118" s="12"/>
      <c r="K118" s="13"/>
      <c r="L118" s="10"/>
      <c r="M118" s="10"/>
      <c r="N118" s="14"/>
      <c r="O118" s="9"/>
      <c r="P118" s="9"/>
    </row>
    <row r="119">
      <c r="D119" s="9"/>
      <c r="E119" s="9"/>
      <c r="F119" s="10"/>
      <c r="G119" s="11"/>
      <c r="H119" s="10"/>
      <c r="I119" s="10"/>
      <c r="J119" s="12"/>
      <c r="K119" s="13"/>
      <c r="L119" s="10"/>
      <c r="M119" s="10"/>
      <c r="N119" s="14"/>
      <c r="O119" s="9"/>
      <c r="P119" s="9"/>
    </row>
    <row r="120">
      <c r="B120" s="15"/>
      <c r="D120" s="9"/>
      <c r="E120" s="9"/>
      <c r="F120" s="10"/>
      <c r="G120" s="11"/>
      <c r="H120" s="10"/>
      <c r="I120" s="10"/>
      <c r="J120" s="12"/>
      <c r="K120" s="13"/>
      <c r="L120" s="10"/>
      <c r="M120" s="10"/>
      <c r="N120" s="14"/>
      <c r="O120" s="9"/>
      <c r="P120" s="9"/>
    </row>
    <row r="121">
      <c r="B121" s="15"/>
      <c r="D121" s="9"/>
      <c r="E121" s="9"/>
      <c r="F121" s="10"/>
      <c r="G121" s="11"/>
      <c r="H121" s="10"/>
      <c r="I121" s="10"/>
      <c r="J121" s="12"/>
      <c r="K121" s="13"/>
      <c r="L121" s="10"/>
      <c r="M121" s="10"/>
      <c r="N121" s="14"/>
      <c r="O121" s="9"/>
      <c r="P121" s="9"/>
    </row>
    <row r="122">
      <c r="D122" s="9"/>
      <c r="E122" s="9"/>
      <c r="F122" s="10"/>
      <c r="G122" s="11"/>
      <c r="H122" s="10"/>
      <c r="I122" s="10"/>
      <c r="J122" s="12"/>
      <c r="K122" s="13"/>
      <c r="L122" s="10"/>
      <c r="M122" s="10"/>
      <c r="N122" s="14"/>
      <c r="O122" s="9"/>
      <c r="P122" s="9"/>
    </row>
    <row r="123">
      <c r="B123" s="15"/>
      <c r="D123" s="9"/>
      <c r="E123" s="9"/>
      <c r="F123" s="10"/>
      <c r="G123" s="11"/>
      <c r="H123" s="10"/>
      <c r="I123" s="10"/>
      <c r="J123" s="12"/>
      <c r="K123" s="13"/>
      <c r="L123" s="10"/>
      <c r="M123" s="10"/>
      <c r="N123" s="14"/>
      <c r="O123" s="9"/>
      <c r="P123" s="9"/>
    </row>
    <row r="124">
      <c r="D124" s="9"/>
      <c r="E124" s="9"/>
      <c r="F124" s="10"/>
      <c r="G124" s="11"/>
      <c r="H124" s="10"/>
      <c r="I124" s="10"/>
      <c r="J124" s="12"/>
      <c r="K124" s="13"/>
      <c r="L124" s="10"/>
      <c r="M124" s="10"/>
      <c r="N124" s="14"/>
      <c r="O124" s="9"/>
      <c r="P124" s="9"/>
    </row>
    <row r="125">
      <c r="D125" s="9"/>
      <c r="E125" s="9"/>
      <c r="F125" s="10"/>
      <c r="G125" s="11"/>
      <c r="H125" s="10"/>
      <c r="I125" s="10"/>
      <c r="J125" s="12"/>
      <c r="K125" s="13"/>
      <c r="L125" s="10"/>
      <c r="M125" s="10"/>
      <c r="N125" s="14"/>
      <c r="O125" s="9"/>
      <c r="P125" s="9"/>
    </row>
    <row r="126">
      <c r="B126" s="15"/>
      <c r="D126" s="9"/>
      <c r="E126" s="9"/>
      <c r="F126" s="10"/>
      <c r="G126" s="11"/>
      <c r="H126" s="10"/>
      <c r="I126" s="10"/>
      <c r="J126" s="12"/>
      <c r="K126" s="13"/>
      <c r="L126" s="10"/>
      <c r="M126" s="10"/>
      <c r="N126" s="14"/>
      <c r="O126" s="9"/>
      <c r="P126" s="9"/>
    </row>
    <row r="127">
      <c r="B127" s="15"/>
      <c r="D127" s="9"/>
      <c r="E127" s="9"/>
      <c r="F127" s="10"/>
      <c r="G127" s="11"/>
      <c r="H127" s="10"/>
      <c r="I127" s="10"/>
      <c r="J127" s="12"/>
      <c r="K127" s="13"/>
      <c r="L127" s="10"/>
      <c r="M127" s="10"/>
      <c r="N127" s="14"/>
      <c r="O127" s="9"/>
      <c r="P127" s="9"/>
    </row>
    <row r="128">
      <c r="B128" s="15"/>
      <c r="D128" s="9"/>
      <c r="E128" s="9"/>
      <c r="F128" s="10"/>
      <c r="G128" s="11"/>
      <c r="H128" s="10"/>
      <c r="I128" s="10"/>
      <c r="J128" s="12"/>
      <c r="K128" s="13"/>
      <c r="L128" s="10"/>
      <c r="M128" s="10"/>
      <c r="N128" s="14"/>
      <c r="O128" s="9"/>
      <c r="P128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2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</row>
    <row r="2">
      <c r="A2" s="8">
        <v>1.0</v>
      </c>
      <c r="B2" s="8">
        <v>0.006</v>
      </c>
      <c r="C2" s="8">
        <v>0.291</v>
      </c>
      <c r="D2" s="9">
        <f t="shared" ref="D2:D540" si="1">ROUND(2*SQRT(B2/PI())*1000,2)</f>
        <v>87.4</v>
      </c>
      <c r="E2" s="9">
        <f t="shared" ref="E2:E540" si="2">ROUND(4*PI()*B2/C2/C2,2)</f>
        <v>0.89</v>
      </c>
      <c r="F2" s="10" t="str">
        <f t="shared" ref="F2:F540" si="3">_xlfn.T.INV(1-0.5*0.05,A2-1)</f>
        <v>#NUM!</v>
      </c>
      <c r="G2" s="11">
        <f t="shared" ref="G2:G540" si="4">ROUND(AVERAGE(D$2:D2),2)</f>
        <v>87.4</v>
      </c>
      <c r="H2" s="10" t="str">
        <f t="shared" ref="H2:H540" si="5">ROUND(_xlfn.STDEV.S(D$2:D2),3)</f>
        <v>#DIV/0!</v>
      </c>
      <c r="I2" s="10" t="str">
        <f t="shared" ref="I2:I540" si="6">ROUND(H2*F2/SQRT(A2),2)</f>
        <v>#DIV/0!</v>
      </c>
      <c r="J2" s="12" t="str">
        <f t="shared" ref="J2:J540" si="7">ROUND(100*I2/G2,3)</f>
        <v>#DIV/0!</v>
      </c>
      <c r="K2" s="13">
        <f t="shared" ref="K2:K540" si="8">ROUND(AVERAGE(E$2:E2),3)</f>
        <v>0.89</v>
      </c>
      <c r="L2" s="10" t="str">
        <f t="shared" ref="L2:L540" si="9">ROUND(_xlfn.STDEV.S(E$2:E2),3)</f>
        <v>#DIV/0!</v>
      </c>
      <c r="M2" s="10" t="str">
        <f t="shared" ref="M2:M540" si="10">L2*F2/SQRT(A2)</f>
        <v>#DIV/0!</v>
      </c>
      <c r="N2" s="14" t="str">
        <f t="shared" ref="N2:N540" si="11">ROUND(M2*100/K2,2)</f>
        <v>#DIV/0!</v>
      </c>
      <c r="O2" s="9">
        <f t="shared" ref="O2:O540" si="12">COUNT(A:A)</f>
        <v>539</v>
      </c>
      <c r="P2" s="9">
        <f t="shared" ref="P2:P540" si="13">ROUND(A2*100/O2,2)</f>
        <v>0.19</v>
      </c>
    </row>
    <row r="3">
      <c r="A3" s="8">
        <v>2.0</v>
      </c>
      <c r="B3" s="15">
        <v>1.018E-4</v>
      </c>
      <c r="C3" s="8">
        <v>0.039</v>
      </c>
      <c r="D3" s="9">
        <f t="shared" si="1"/>
        <v>11.38</v>
      </c>
      <c r="E3" s="16">
        <f t="shared" si="2"/>
        <v>0.84</v>
      </c>
      <c r="F3" s="10">
        <f t="shared" si="3"/>
        <v>12.70620474</v>
      </c>
      <c r="G3" s="11">
        <f t="shared" si="4"/>
        <v>49.39</v>
      </c>
      <c r="H3" s="10">
        <f t="shared" si="5"/>
        <v>53.754</v>
      </c>
      <c r="I3" s="10">
        <f t="shared" si="6"/>
        <v>482.96</v>
      </c>
      <c r="J3" s="12">
        <f t="shared" si="7"/>
        <v>977.85</v>
      </c>
      <c r="K3" s="13">
        <f t="shared" si="8"/>
        <v>0.865</v>
      </c>
      <c r="L3" s="10">
        <f t="shared" si="9"/>
        <v>0.035</v>
      </c>
      <c r="M3" s="10">
        <f t="shared" si="10"/>
        <v>0.3144625236</v>
      </c>
      <c r="N3" s="14">
        <f t="shared" si="11"/>
        <v>36.35</v>
      </c>
      <c r="O3" s="9">
        <f t="shared" si="12"/>
        <v>539</v>
      </c>
      <c r="P3" s="9">
        <f t="shared" si="13"/>
        <v>0.37</v>
      </c>
    </row>
    <row r="4">
      <c r="A4" s="8">
        <v>3.0</v>
      </c>
      <c r="B4" s="8">
        <v>0.004</v>
      </c>
      <c r="C4" s="8">
        <v>0.217</v>
      </c>
      <c r="D4" s="9">
        <f t="shared" si="1"/>
        <v>71.36</v>
      </c>
      <c r="E4" s="9">
        <f t="shared" si="2"/>
        <v>1.07</v>
      </c>
      <c r="F4" s="10">
        <f t="shared" si="3"/>
        <v>4.30265273</v>
      </c>
      <c r="G4" s="11">
        <f t="shared" si="4"/>
        <v>56.71</v>
      </c>
      <c r="H4" s="10">
        <f t="shared" si="5"/>
        <v>40.071</v>
      </c>
      <c r="I4" s="10">
        <f t="shared" si="6"/>
        <v>99.54</v>
      </c>
      <c r="J4" s="12">
        <f t="shared" si="7"/>
        <v>175.525</v>
      </c>
      <c r="K4" s="13">
        <f t="shared" si="8"/>
        <v>0.933</v>
      </c>
      <c r="L4" s="10">
        <f t="shared" si="9"/>
        <v>0.121</v>
      </c>
      <c r="M4" s="10">
        <f t="shared" si="10"/>
        <v>0.3005806631</v>
      </c>
      <c r="N4" s="14">
        <f t="shared" si="11"/>
        <v>32.22</v>
      </c>
      <c r="O4" s="9">
        <f t="shared" si="12"/>
        <v>539</v>
      </c>
      <c r="P4" s="9">
        <f t="shared" si="13"/>
        <v>0.56</v>
      </c>
    </row>
    <row r="5">
      <c r="A5" s="8">
        <v>4.0</v>
      </c>
      <c r="B5" s="8">
        <v>0.003</v>
      </c>
      <c r="C5" s="8">
        <v>0.196</v>
      </c>
      <c r="D5" s="9">
        <f t="shared" si="1"/>
        <v>61.8</v>
      </c>
      <c r="E5" s="9">
        <f t="shared" si="2"/>
        <v>0.98</v>
      </c>
      <c r="F5" s="10">
        <f t="shared" si="3"/>
        <v>3.182446305</v>
      </c>
      <c r="G5" s="11">
        <f t="shared" si="4"/>
        <v>57.99</v>
      </c>
      <c r="H5" s="10">
        <f t="shared" si="5"/>
        <v>32.816</v>
      </c>
      <c r="I5" s="10">
        <f t="shared" si="6"/>
        <v>52.22</v>
      </c>
      <c r="J5" s="12">
        <f t="shared" si="7"/>
        <v>90.05</v>
      </c>
      <c r="K5" s="13">
        <f t="shared" si="8"/>
        <v>0.945</v>
      </c>
      <c r="L5" s="10">
        <f t="shared" si="9"/>
        <v>0.101</v>
      </c>
      <c r="M5" s="10">
        <f t="shared" si="10"/>
        <v>0.1607135384</v>
      </c>
      <c r="N5" s="14">
        <f t="shared" si="11"/>
        <v>17.01</v>
      </c>
      <c r="O5" s="9">
        <f t="shared" si="12"/>
        <v>539</v>
      </c>
      <c r="P5" s="9">
        <f t="shared" si="13"/>
        <v>0.74</v>
      </c>
    </row>
    <row r="6">
      <c r="A6" s="8">
        <v>5.0</v>
      </c>
      <c r="B6" s="8">
        <v>0.008</v>
      </c>
      <c r="C6" s="8">
        <v>0.371</v>
      </c>
      <c r="D6" s="9">
        <f t="shared" si="1"/>
        <v>100.93</v>
      </c>
      <c r="E6" s="9">
        <f t="shared" si="2"/>
        <v>0.73</v>
      </c>
      <c r="F6" s="10">
        <f t="shared" si="3"/>
        <v>2.776445105</v>
      </c>
      <c r="G6" s="11">
        <f t="shared" si="4"/>
        <v>66.57</v>
      </c>
      <c r="H6" s="10">
        <f t="shared" si="5"/>
        <v>34.301</v>
      </c>
      <c r="I6" s="10">
        <f t="shared" si="6"/>
        <v>42.59</v>
      </c>
      <c r="J6" s="12">
        <f t="shared" si="7"/>
        <v>63.978</v>
      </c>
      <c r="K6" s="13">
        <f t="shared" si="8"/>
        <v>0.902</v>
      </c>
      <c r="L6" s="10">
        <f t="shared" si="9"/>
        <v>0.13</v>
      </c>
      <c r="M6" s="10">
        <f t="shared" si="10"/>
        <v>0.1614163198</v>
      </c>
      <c r="N6" s="14">
        <f t="shared" si="11"/>
        <v>17.9</v>
      </c>
      <c r="O6" s="9">
        <f t="shared" si="12"/>
        <v>539</v>
      </c>
      <c r="P6" s="9">
        <f t="shared" si="13"/>
        <v>0.93</v>
      </c>
    </row>
    <row r="7">
      <c r="A7" s="8">
        <v>6.0</v>
      </c>
      <c r="B7" s="8">
        <v>0.002</v>
      </c>
      <c r="C7" s="8">
        <v>0.145</v>
      </c>
      <c r="D7" s="9">
        <f t="shared" si="1"/>
        <v>50.46</v>
      </c>
      <c r="E7" s="9">
        <f t="shared" si="2"/>
        <v>1.2</v>
      </c>
      <c r="F7" s="10">
        <f t="shared" si="3"/>
        <v>2.570581836</v>
      </c>
      <c r="G7" s="11">
        <f t="shared" si="4"/>
        <v>63.89</v>
      </c>
      <c r="H7" s="10">
        <f t="shared" si="5"/>
        <v>31.377</v>
      </c>
      <c r="I7" s="10">
        <f t="shared" si="6"/>
        <v>32.93</v>
      </c>
      <c r="J7" s="12">
        <f t="shared" si="7"/>
        <v>51.542</v>
      </c>
      <c r="K7" s="13">
        <f t="shared" si="8"/>
        <v>0.952</v>
      </c>
      <c r="L7" s="10">
        <f t="shared" si="9"/>
        <v>0.168</v>
      </c>
      <c r="M7" s="10">
        <f t="shared" si="10"/>
        <v>0.1763051875</v>
      </c>
      <c r="N7" s="14">
        <f t="shared" si="11"/>
        <v>18.52</v>
      </c>
      <c r="O7" s="9">
        <f t="shared" si="12"/>
        <v>539</v>
      </c>
      <c r="P7" s="9">
        <f t="shared" si="13"/>
        <v>1.11</v>
      </c>
    </row>
    <row r="8">
      <c r="A8" s="8">
        <v>7.0</v>
      </c>
      <c r="B8" s="15">
        <v>9.23E-4</v>
      </c>
      <c r="C8" s="8">
        <v>0.115</v>
      </c>
      <c r="D8" s="9">
        <f t="shared" si="1"/>
        <v>34.28</v>
      </c>
      <c r="E8" s="16">
        <f t="shared" si="2"/>
        <v>0.88</v>
      </c>
      <c r="F8" s="10">
        <f t="shared" si="3"/>
        <v>2.446911851</v>
      </c>
      <c r="G8" s="11">
        <f t="shared" si="4"/>
        <v>59.66</v>
      </c>
      <c r="H8" s="10">
        <f t="shared" si="5"/>
        <v>30.752</v>
      </c>
      <c r="I8" s="10">
        <f t="shared" si="6"/>
        <v>28.44</v>
      </c>
      <c r="J8" s="12">
        <f t="shared" si="7"/>
        <v>47.67</v>
      </c>
      <c r="K8" s="13">
        <f t="shared" si="8"/>
        <v>0.941</v>
      </c>
      <c r="L8" s="10">
        <f t="shared" si="9"/>
        <v>0.156</v>
      </c>
      <c r="M8" s="10">
        <f t="shared" si="10"/>
        <v>0.1442759367</v>
      </c>
      <c r="N8" s="14">
        <f t="shared" si="11"/>
        <v>15.33</v>
      </c>
      <c r="O8" s="9">
        <f t="shared" si="12"/>
        <v>539</v>
      </c>
      <c r="P8" s="9">
        <f t="shared" si="13"/>
        <v>1.3</v>
      </c>
    </row>
    <row r="9">
      <c r="A9" s="8">
        <v>8.0</v>
      </c>
      <c r="B9" s="8">
        <v>0.003</v>
      </c>
      <c r="C9" s="8">
        <v>0.204</v>
      </c>
      <c r="D9" s="9">
        <f t="shared" si="1"/>
        <v>61.8</v>
      </c>
      <c r="E9" s="9">
        <f t="shared" si="2"/>
        <v>0.91</v>
      </c>
      <c r="F9" s="10">
        <f t="shared" si="3"/>
        <v>2.364624252</v>
      </c>
      <c r="G9" s="11">
        <f t="shared" si="4"/>
        <v>59.93</v>
      </c>
      <c r="H9" s="10">
        <f t="shared" si="5"/>
        <v>28.48</v>
      </c>
      <c r="I9" s="10">
        <f t="shared" si="6"/>
        <v>23.81</v>
      </c>
      <c r="J9" s="12">
        <f t="shared" si="7"/>
        <v>39.73</v>
      </c>
      <c r="K9" s="13">
        <f t="shared" si="8"/>
        <v>0.938</v>
      </c>
      <c r="L9" s="10">
        <f t="shared" si="9"/>
        <v>0.145</v>
      </c>
      <c r="M9" s="10">
        <f t="shared" si="10"/>
        <v>0.1212230336</v>
      </c>
      <c r="N9" s="14">
        <f t="shared" si="11"/>
        <v>12.92</v>
      </c>
      <c r="O9" s="9">
        <f t="shared" si="12"/>
        <v>539</v>
      </c>
      <c r="P9" s="9">
        <f t="shared" si="13"/>
        <v>1.48</v>
      </c>
    </row>
    <row r="10">
      <c r="A10" s="8">
        <v>9.0</v>
      </c>
      <c r="B10" s="8">
        <v>0.004</v>
      </c>
      <c r="C10" s="8">
        <v>0.226</v>
      </c>
      <c r="D10" s="9">
        <f t="shared" si="1"/>
        <v>71.36</v>
      </c>
      <c r="E10" s="9">
        <f t="shared" si="2"/>
        <v>0.98</v>
      </c>
      <c r="F10" s="10">
        <f t="shared" si="3"/>
        <v>2.306004135</v>
      </c>
      <c r="G10" s="11">
        <f t="shared" si="4"/>
        <v>61.2</v>
      </c>
      <c r="H10" s="10">
        <f t="shared" si="5"/>
        <v>26.912</v>
      </c>
      <c r="I10" s="10">
        <f t="shared" si="6"/>
        <v>20.69</v>
      </c>
      <c r="J10" s="12">
        <f t="shared" si="7"/>
        <v>33.807</v>
      </c>
      <c r="K10" s="13">
        <f t="shared" si="8"/>
        <v>0.942</v>
      </c>
      <c r="L10" s="10">
        <f t="shared" si="9"/>
        <v>0.136</v>
      </c>
      <c r="M10" s="10">
        <f t="shared" si="10"/>
        <v>0.1045388541</v>
      </c>
      <c r="N10" s="14">
        <f t="shared" si="11"/>
        <v>11.1</v>
      </c>
      <c r="O10" s="9">
        <f t="shared" si="12"/>
        <v>539</v>
      </c>
      <c r="P10" s="9">
        <f t="shared" si="13"/>
        <v>1.67</v>
      </c>
    </row>
    <row r="11">
      <c r="A11" s="8">
        <v>10.0</v>
      </c>
      <c r="B11" s="8">
        <v>0.007</v>
      </c>
      <c r="C11" s="8">
        <v>0.419</v>
      </c>
      <c r="D11" s="9">
        <f t="shared" si="1"/>
        <v>94.41</v>
      </c>
      <c r="E11" s="9">
        <f t="shared" si="2"/>
        <v>0.5</v>
      </c>
      <c r="F11" s="10">
        <f t="shared" si="3"/>
        <v>2.262157163</v>
      </c>
      <c r="G11" s="11">
        <f t="shared" si="4"/>
        <v>64.52</v>
      </c>
      <c r="H11" s="10">
        <f t="shared" si="5"/>
        <v>27.461</v>
      </c>
      <c r="I11" s="10">
        <f t="shared" si="6"/>
        <v>19.64</v>
      </c>
      <c r="J11" s="12">
        <f t="shared" si="7"/>
        <v>30.44</v>
      </c>
      <c r="K11" s="13">
        <f t="shared" si="8"/>
        <v>0.898</v>
      </c>
      <c r="L11" s="10">
        <f t="shared" si="9"/>
        <v>0.19</v>
      </c>
      <c r="M11" s="10">
        <f t="shared" si="10"/>
        <v>0.1359178121</v>
      </c>
      <c r="N11" s="14">
        <f t="shared" si="11"/>
        <v>15.14</v>
      </c>
      <c r="O11" s="9">
        <f t="shared" si="12"/>
        <v>539</v>
      </c>
      <c r="P11" s="9">
        <f t="shared" si="13"/>
        <v>1.86</v>
      </c>
    </row>
    <row r="12">
      <c r="A12" s="8">
        <v>11.0</v>
      </c>
      <c r="B12" s="8">
        <v>0.006</v>
      </c>
      <c r="C12" s="8">
        <v>0.32</v>
      </c>
      <c r="D12" s="9">
        <f t="shared" si="1"/>
        <v>87.4</v>
      </c>
      <c r="E12" s="9">
        <f t="shared" si="2"/>
        <v>0.74</v>
      </c>
      <c r="F12" s="10">
        <f t="shared" si="3"/>
        <v>2.228138852</v>
      </c>
      <c r="G12" s="11">
        <f t="shared" si="4"/>
        <v>66.6</v>
      </c>
      <c r="H12" s="10">
        <f t="shared" si="5"/>
        <v>26.95</v>
      </c>
      <c r="I12" s="10">
        <f t="shared" si="6"/>
        <v>18.11</v>
      </c>
      <c r="J12" s="12">
        <f t="shared" si="7"/>
        <v>27.192</v>
      </c>
      <c r="K12" s="13">
        <f t="shared" si="8"/>
        <v>0.884</v>
      </c>
      <c r="L12" s="10">
        <f t="shared" si="9"/>
        <v>0.186</v>
      </c>
      <c r="M12" s="10">
        <f t="shared" si="10"/>
        <v>0.1249565003</v>
      </c>
      <c r="N12" s="14">
        <f t="shared" si="11"/>
        <v>14.14</v>
      </c>
      <c r="O12" s="9">
        <f t="shared" si="12"/>
        <v>539</v>
      </c>
      <c r="P12" s="9">
        <f t="shared" si="13"/>
        <v>2.04</v>
      </c>
    </row>
    <row r="13">
      <c r="A13" s="8">
        <v>12.0</v>
      </c>
      <c r="B13" s="8">
        <v>0.024</v>
      </c>
      <c r="C13" s="8">
        <v>0.712</v>
      </c>
      <c r="D13" s="9">
        <f t="shared" si="1"/>
        <v>174.81</v>
      </c>
      <c r="E13" s="9">
        <f t="shared" si="2"/>
        <v>0.59</v>
      </c>
      <c r="F13" s="10">
        <f t="shared" si="3"/>
        <v>2.20098516</v>
      </c>
      <c r="G13" s="11">
        <f t="shared" si="4"/>
        <v>75.62</v>
      </c>
      <c r="H13" s="10">
        <f t="shared" si="5"/>
        <v>40.449</v>
      </c>
      <c r="I13" s="10">
        <f t="shared" si="6"/>
        <v>25.7</v>
      </c>
      <c r="J13" s="12">
        <f t="shared" si="7"/>
        <v>33.986</v>
      </c>
      <c r="K13" s="13">
        <f t="shared" si="8"/>
        <v>0.859</v>
      </c>
      <c r="L13" s="10">
        <f t="shared" si="9"/>
        <v>0.197</v>
      </c>
      <c r="M13" s="10">
        <f t="shared" si="10"/>
        <v>0.1251678284</v>
      </c>
      <c r="N13" s="14">
        <f t="shared" si="11"/>
        <v>14.57</v>
      </c>
      <c r="O13" s="9">
        <f t="shared" si="12"/>
        <v>539</v>
      </c>
      <c r="P13" s="9">
        <f t="shared" si="13"/>
        <v>2.23</v>
      </c>
    </row>
    <row r="14">
      <c r="A14" s="8">
        <v>13.0</v>
      </c>
      <c r="B14" s="8">
        <v>0.002</v>
      </c>
      <c r="C14" s="8">
        <v>0.149</v>
      </c>
      <c r="D14" s="9">
        <f t="shared" si="1"/>
        <v>50.46</v>
      </c>
      <c r="E14" s="9">
        <f t="shared" si="2"/>
        <v>1.13</v>
      </c>
      <c r="F14" s="10">
        <f t="shared" si="3"/>
        <v>2.17881283</v>
      </c>
      <c r="G14" s="11">
        <f t="shared" si="4"/>
        <v>73.68</v>
      </c>
      <c r="H14" s="10">
        <f t="shared" si="5"/>
        <v>39.35</v>
      </c>
      <c r="I14" s="10">
        <f t="shared" si="6"/>
        <v>23.78</v>
      </c>
      <c r="J14" s="12">
        <f t="shared" si="7"/>
        <v>32.275</v>
      </c>
      <c r="K14" s="13">
        <f t="shared" si="8"/>
        <v>0.88</v>
      </c>
      <c r="L14" s="10">
        <f t="shared" si="9"/>
        <v>0.203</v>
      </c>
      <c r="M14" s="10">
        <f t="shared" si="10"/>
        <v>0.1226716723</v>
      </c>
      <c r="N14" s="14">
        <f t="shared" si="11"/>
        <v>13.94</v>
      </c>
      <c r="O14" s="9">
        <f t="shared" si="12"/>
        <v>539</v>
      </c>
      <c r="P14" s="9">
        <f t="shared" si="13"/>
        <v>2.41</v>
      </c>
    </row>
    <row r="15">
      <c r="A15" s="8">
        <v>14.0</v>
      </c>
      <c r="B15" s="8">
        <v>0.006</v>
      </c>
      <c r="C15" s="8">
        <v>0.297</v>
      </c>
      <c r="D15" s="9">
        <f t="shared" si="1"/>
        <v>87.4</v>
      </c>
      <c r="E15" s="9">
        <f t="shared" si="2"/>
        <v>0.85</v>
      </c>
      <c r="F15" s="10">
        <f t="shared" si="3"/>
        <v>2.160368656</v>
      </c>
      <c r="G15" s="11">
        <f t="shared" si="4"/>
        <v>74.66</v>
      </c>
      <c r="H15" s="10">
        <f t="shared" si="5"/>
        <v>37.984</v>
      </c>
      <c r="I15" s="10">
        <f t="shared" si="6"/>
        <v>21.93</v>
      </c>
      <c r="J15" s="12">
        <f t="shared" si="7"/>
        <v>29.373</v>
      </c>
      <c r="K15" s="13">
        <f t="shared" si="8"/>
        <v>0.878</v>
      </c>
      <c r="L15" s="10">
        <f t="shared" si="9"/>
        <v>0.195</v>
      </c>
      <c r="M15" s="10">
        <f t="shared" si="10"/>
        <v>0.112589648</v>
      </c>
      <c r="N15" s="14">
        <f t="shared" si="11"/>
        <v>12.82</v>
      </c>
      <c r="O15" s="9">
        <f t="shared" si="12"/>
        <v>539</v>
      </c>
      <c r="P15" s="9">
        <f t="shared" si="13"/>
        <v>2.6</v>
      </c>
    </row>
    <row r="16">
      <c r="A16" s="8">
        <v>15.0</v>
      </c>
      <c r="B16" s="8">
        <v>0.003</v>
      </c>
      <c r="C16" s="8">
        <v>0.193</v>
      </c>
      <c r="D16" s="9">
        <f t="shared" si="1"/>
        <v>61.8</v>
      </c>
      <c r="E16" s="9">
        <f t="shared" si="2"/>
        <v>1.01</v>
      </c>
      <c r="F16" s="10">
        <f t="shared" si="3"/>
        <v>2.144786688</v>
      </c>
      <c r="G16" s="11">
        <f t="shared" si="4"/>
        <v>73.8</v>
      </c>
      <c r="H16" s="10">
        <f t="shared" si="5"/>
        <v>36.752</v>
      </c>
      <c r="I16" s="10">
        <f t="shared" si="6"/>
        <v>20.35</v>
      </c>
      <c r="J16" s="12">
        <f t="shared" si="7"/>
        <v>27.575</v>
      </c>
      <c r="K16" s="13">
        <f t="shared" si="8"/>
        <v>0.887</v>
      </c>
      <c r="L16" s="10">
        <f t="shared" si="9"/>
        <v>0.191</v>
      </c>
      <c r="M16" s="10">
        <f t="shared" si="10"/>
        <v>0.1057722744</v>
      </c>
      <c r="N16" s="14">
        <f t="shared" si="11"/>
        <v>11.92</v>
      </c>
      <c r="O16" s="9">
        <f t="shared" si="12"/>
        <v>539</v>
      </c>
      <c r="P16" s="9">
        <f t="shared" si="13"/>
        <v>2.78</v>
      </c>
    </row>
    <row r="17">
      <c r="A17" s="8">
        <v>16.0</v>
      </c>
      <c r="B17" s="8">
        <v>0.002</v>
      </c>
      <c r="C17" s="8">
        <v>0.168</v>
      </c>
      <c r="D17" s="9">
        <f t="shared" si="1"/>
        <v>50.46</v>
      </c>
      <c r="E17" s="9">
        <f t="shared" si="2"/>
        <v>0.89</v>
      </c>
      <c r="F17" s="10">
        <f t="shared" si="3"/>
        <v>2.131449546</v>
      </c>
      <c r="G17" s="11">
        <f t="shared" si="4"/>
        <v>72.34</v>
      </c>
      <c r="H17" s="10">
        <f t="shared" si="5"/>
        <v>35.982</v>
      </c>
      <c r="I17" s="10">
        <f t="shared" si="6"/>
        <v>19.17</v>
      </c>
      <c r="J17" s="12">
        <f t="shared" si="7"/>
        <v>26.5</v>
      </c>
      <c r="K17" s="13">
        <f t="shared" si="8"/>
        <v>0.887</v>
      </c>
      <c r="L17" s="10">
        <f t="shared" si="9"/>
        <v>0.185</v>
      </c>
      <c r="M17" s="10">
        <f t="shared" si="10"/>
        <v>0.09857954148</v>
      </c>
      <c r="N17" s="14">
        <f t="shared" si="11"/>
        <v>11.11</v>
      </c>
      <c r="O17" s="9">
        <f t="shared" si="12"/>
        <v>539</v>
      </c>
      <c r="P17" s="9">
        <f t="shared" si="13"/>
        <v>2.97</v>
      </c>
    </row>
    <row r="18">
      <c r="A18" s="8">
        <v>17.0</v>
      </c>
      <c r="B18" s="8">
        <v>0.001</v>
      </c>
      <c r="C18" s="8">
        <v>0.118</v>
      </c>
      <c r="D18" s="9">
        <f t="shared" si="1"/>
        <v>35.68</v>
      </c>
      <c r="E18" s="9">
        <f t="shared" si="2"/>
        <v>0.9</v>
      </c>
      <c r="F18" s="10">
        <f t="shared" si="3"/>
        <v>2.119905299</v>
      </c>
      <c r="G18" s="11">
        <f t="shared" si="4"/>
        <v>70.19</v>
      </c>
      <c r="H18" s="10">
        <f t="shared" si="5"/>
        <v>35.957</v>
      </c>
      <c r="I18" s="10">
        <f t="shared" si="6"/>
        <v>18.49</v>
      </c>
      <c r="J18" s="12">
        <f t="shared" si="7"/>
        <v>26.343</v>
      </c>
      <c r="K18" s="13">
        <f t="shared" si="8"/>
        <v>0.888</v>
      </c>
      <c r="L18" s="10">
        <f t="shared" si="9"/>
        <v>0.179</v>
      </c>
      <c r="M18" s="10">
        <f t="shared" si="10"/>
        <v>0.09203330766</v>
      </c>
      <c r="N18" s="14">
        <f t="shared" si="11"/>
        <v>10.36</v>
      </c>
      <c r="O18" s="9">
        <f t="shared" si="12"/>
        <v>539</v>
      </c>
      <c r="P18" s="9">
        <f t="shared" si="13"/>
        <v>3.15</v>
      </c>
    </row>
    <row r="19">
      <c r="A19" s="8">
        <v>18.0</v>
      </c>
      <c r="B19" s="8">
        <v>0.003</v>
      </c>
      <c r="C19" s="8">
        <v>0.193</v>
      </c>
      <c r="D19" s="9">
        <f t="shared" si="1"/>
        <v>61.8</v>
      </c>
      <c r="E19" s="9">
        <f t="shared" si="2"/>
        <v>1.01</v>
      </c>
      <c r="F19" s="10">
        <f t="shared" si="3"/>
        <v>2.109815578</v>
      </c>
      <c r="G19" s="11">
        <f t="shared" si="4"/>
        <v>69.72</v>
      </c>
      <c r="H19" s="10">
        <f t="shared" si="5"/>
        <v>34.939</v>
      </c>
      <c r="I19" s="10">
        <f t="shared" si="6"/>
        <v>17.37</v>
      </c>
      <c r="J19" s="12">
        <f t="shared" si="7"/>
        <v>24.914</v>
      </c>
      <c r="K19" s="13">
        <f t="shared" si="8"/>
        <v>0.894</v>
      </c>
      <c r="L19" s="10">
        <f t="shared" si="9"/>
        <v>0.176</v>
      </c>
      <c r="M19" s="10">
        <f t="shared" si="10"/>
        <v>0.08752274093</v>
      </c>
      <c r="N19" s="14">
        <f t="shared" si="11"/>
        <v>9.79</v>
      </c>
      <c r="O19" s="9">
        <f t="shared" si="12"/>
        <v>539</v>
      </c>
      <c r="P19" s="9">
        <f t="shared" si="13"/>
        <v>3.34</v>
      </c>
    </row>
    <row r="20">
      <c r="A20" s="8">
        <v>19.0</v>
      </c>
      <c r="B20" s="8">
        <v>0.004</v>
      </c>
      <c r="C20" s="8">
        <v>0.217</v>
      </c>
      <c r="D20" s="9">
        <f t="shared" si="1"/>
        <v>71.36</v>
      </c>
      <c r="E20" s="9">
        <f t="shared" si="2"/>
        <v>1.07</v>
      </c>
      <c r="F20" s="10">
        <f t="shared" si="3"/>
        <v>2.10092204</v>
      </c>
      <c r="G20" s="11">
        <f t="shared" si="4"/>
        <v>69.81</v>
      </c>
      <c r="H20" s="10">
        <f t="shared" si="5"/>
        <v>33.957</v>
      </c>
      <c r="I20" s="10">
        <f t="shared" si="6"/>
        <v>16.37</v>
      </c>
      <c r="J20" s="12">
        <f t="shared" si="7"/>
        <v>23.449</v>
      </c>
      <c r="K20" s="13">
        <f t="shared" si="8"/>
        <v>0.904</v>
      </c>
      <c r="L20" s="10">
        <f t="shared" si="9"/>
        <v>0.176</v>
      </c>
      <c r="M20" s="10">
        <f t="shared" si="10"/>
        <v>0.08482928461</v>
      </c>
      <c r="N20" s="14">
        <f t="shared" si="11"/>
        <v>9.38</v>
      </c>
      <c r="O20" s="9">
        <f t="shared" si="12"/>
        <v>539</v>
      </c>
      <c r="P20" s="9">
        <f t="shared" si="13"/>
        <v>3.53</v>
      </c>
    </row>
    <row r="21">
      <c r="A21" s="8">
        <v>20.0</v>
      </c>
      <c r="B21" s="15">
        <v>8.785E-4</v>
      </c>
      <c r="C21" s="8">
        <v>0.106</v>
      </c>
      <c r="D21" s="9">
        <f t="shared" si="1"/>
        <v>33.44</v>
      </c>
      <c r="E21" s="16">
        <f t="shared" si="2"/>
        <v>0.98</v>
      </c>
      <c r="F21" s="10">
        <f t="shared" si="3"/>
        <v>2.093024054</v>
      </c>
      <c r="G21" s="11">
        <f t="shared" si="4"/>
        <v>67.99</v>
      </c>
      <c r="H21" s="10">
        <f t="shared" si="5"/>
        <v>34.037</v>
      </c>
      <c r="I21" s="10">
        <f t="shared" si="6"/>
        <v>15.93</v>
      </c>
      <c r="J21" s="12">
        <f t="shared" si="7"/>
        <v>23.43</v>
      </c>
      <c r="K21" s="13">
        <f t="shared" si="8"/>
        <v>0.908</v>
      </c>
      <c r="L21" s="10">
        <f t="shared" si="9"/>
        <v>0.172</v>
      </c>
      <c r="M21" s="10">
        <f t="shared" si="10"/>
        <v>0.0804984779</v>
      </c>
      <c r="N21" s="14">
        <f t="shared" si="11"/>
        <v>8.87</v>
      </c>
      <c r="O21" s="9">
        <f t="shared" si="12"/>
        <v>539</v>
      </c>
      <c r="P21" s="9">
        <f t="shared" si="13"/>
        <v>3.71</v>
      </c>
    </row>
    <row r="22">
      <c r="A22" s="8">
        <v>21.0</v>
      </c>
      <c r="B22" s="8">
        <v>0.002</v>
      </c>
      <c r="C22" s="8">
        <v>0.171</v>
      </c>
      <c r="D22" s="9">
        <f t="shared" si="1"/>
        <v>50.46</v>
      </c>
      <c r="E22" s="9">
        <f t="shared" si="2"/>
        <v>0.86</v>
      </c>
      <c r="F22" s="10">
        <f t="shared" si="3"/>
        <v>2.085963447</v>
      </c>
      <c r="G22" s="11">
        <f t="shared" si="4"/>
        <v>67.15</v>
      </c>
      <c r="H22" s="10">
        <f t="shared" si="5"/>
        <v>33.395</v>
      </c>
      <c r="I22" s="10">
        <f t="shared" si="6"/>
        <v>15.2</v>
      </c>
      <c r="J22" s="12">
        <f t="shared" si="7"/>
        <v>22.636</v>
      </c>
      <c r="K22" s="13">
        <f t="shared" si="8"/>
        <v>0.905</v>
      </c>
      <c r="L22" s="10">
        <f t="shared" si="9"/>
        <v>0.168</v>
      </c>
      <c r="M22" s="10">
        <f t="shared" si="10"/>
        <v>0.07647268315</v>
      </c>
      <c r="N22" s="14">
        <f t="shared" si="11"/>
        <v>8.45</v>
      </c>
      <c r="O22" s="9">
        <f t="shared" si="12"/>
        <v>539</v>
      </c>
      <c r="P22" s="9">
        <f t="shared" si="13"/>
        <v>3.9</v>
      </c>
    </row>
    <row r="23">
      <c r="A23" s="8">
        <v>22.0</v>
      </c>
      <c r="B23" s="8">
        <v>0.005</v>
      </c>
      <c r="C23" s="8">
        <v>0.261</v>
      </c>
      <c r="D23" s="9">
        <f t="shared" si="1"/>
        <v>79.79</v>
      </c>
      <c r="E23" s="9">
        <f t="shared" si="2"/>
        <v>0.92</v>
      </c>
      <c r="F23" s="10">
        <f t="shared" si="3"/>
        <v>2.079613845</v>
      </c>
      <c r="G23" s="11">
        <f t="shared" si="4"/>
        <v>67.73</v>
      </c>
      <c r="H23" s="10">
        <f t="shared" si="5"/>
        <v>32.701</v>
      </c>
      <c r="I23" s="10">
        <f t="shared" si="6"/>
        <v>14.5</v>
      </c>
      <c r="J23" s="12">
        <f t="shared" si="7"/>
        <v>21.409</v>
      </c>
      <c r="K23" s="13">
        <f t="shared" si="8"/>
        <v>0.906</v>
      </c>
      <c r="L23" s="10">
        <f t="shared" si="9"/>
        <v>0.164</v>
      </c>
      <c r="M23" s="10">
        <f t="shared" si="10"/>
        <v>0.07271352648</v>
      </c>
      <c r="N23" s="14">
        <f t="shared" si="11"/>
        <v>8.03</v>
      </c>
      <c r="O23" s="9">
        <f t="shared" si="12"/>
        <v>539</v>
      </c>
      <c r="P23" s="9">
        <f t="shared" si="13"/>
        <v>4.08</v>
      </c>
    </row>
    <row r="24">
      <c r="A24" s="8">
        <v>23.0</v>
      </c>
      <c r="B24" s="8">
        <v>0.014</v>
      </c>
      <c r="C24" s="8">
        <v>0.627</v>
      </c>
      <c r="D24" s="9">
        <f t="shared" si="1"/>
        <v>133.51</v>
      </c>
      <c r="E24" s="9">
        <f t="shared" si="2"/>
        <v>0.45</v>
      </c>
      <c r="F24" s="10">
        <f t="shared" si="3"/>
        <v>2.073873068</v>
      </c>
      <c r="G24" s="11">
        <f t="shared" si="4"/>
        <v>70.59</v>
      </c>
      <c r="H24" s="10">
        <f t="shared" si="5"/>
        <v>34.769</v>
      </c>
      <c r="I24" s="10">
        <f t="shared" si="6"/>
        <v>15.04</v>
      </c>
      <c r="J24" s="12">
        <f t="shared" si="7"/>
        <v>21.306</v>
      </c>
      <c r="K24" s="13">
        <f t="shared" si="8"/>
        <v>0.886</v>
      </c>
      <c r="L24" s="10">
        <f t="shared" si="9"/>
        <v>0.186</v>
      </c>
      <c r="M24" s="10">
        <f t="shared" si="10"/>
        <v>0.08043243153</v>
      </c>
      <c r="N24" s="14">
        <f t="shared" si="11"/>
        <v>9.08</v>
      </c>
      <c r="O24" s="9">
        <f t="shared" si="12"/>
        <v>539</v>
      </c>
      <c r="P24" s="9">
        <f t="shared" si="13"/>
        <v>4.27</v>
      </c>
    </row>
    <row r="25">
      <c r="A25" s="8">
        <v>24.0</v>
      </c>
      <c r="B25" s="8">
        <v>0.003</v>
      </c>
      <c r="C25" s="8">
        <v>0.193</v>
      </c>
      <c r="D25" s="9">
        <f t="shared" si="1"/>
        <v>61.8</v>
      </c>
      <c r="E25" s="9">
        <f t="shared" si="2"/>
        <v>1.01</v>
      </c>
      <c r="F25" s="10">
        <f t="shared" si="3"/>
        <v>2.06865761</v>
      </c>
      <c r="G25" s="11">
        <f t="shared" si="4"/>
        <v>70.22</v>
      </c>
      <c r="H25" s="10">
        <f t="shared" si="5"/>
        <v>34.052</v>
      </c>
      <c r="I25" s="10">
        <f t="shared" si="6"/>
        <v>14.38</v>
      </c>
      <c r="J25" s="12">
        <f t="shared" si="7"/>
        <v>20.478</v>
      </c>
      <c r="K25" s="13">
        <f t="shared" si="8"/>
        <v>0.891</v>
      </c>
      <c r="L25" s="10">
        <f t="shared" si="9"/>
        <v>0.184</v>
      </c>
      <c r="M25" s="10">
        <f t="shared" si="10"/>
        <v>0.07769638584</v>
      </c>
      <c r="N25" s="14">
        <f t="shared" si="11"/>
        <v>8.72</v>
      </c>
      <c r="O25" s="9">
        <f t="shared" si="12"/>
        <v>539</v>
      </c>
      <c r="P25" s="9">
        <f t="shared" si="13"/>
        <v>4.45</v>
      </c>
    </row>
    <row r="26">
      <c r="A26" s="8">
        <v>25.0</v>
      </c>
      <c r="B26" s="15">
        <v>9.612E-4</v>
      </c>
      <c r="C26" s="8">
        <v>0.111</v>
      </c>
      <c r="D26" s="9">
        <f t="shared" si="1"/>
        <v>34.98</v>
      </c>
      <c r="E26" s="16">
        <f t="shared" si="2"/>
        <v>0.98</v>
      </c>
      <c r="F26" s="10">
        <f t="shared" si="3"/>
        <v>2.063898562</v>
      </c>
      <c r="G26" s="11">
        <f t="shared" si="4"/>
        <v>68.81</v>
      </c>
      <c r="H26" s="10">
        <f t="shared" si="5"/>
        <v>34.072</v>
      </c>
      <c r="I26" s="10">
        <f t="shared" si="6"/>
        <v>14.06</v>
      </c>
      <c r="J26" s="12">
        <f t="shared" si="7"/>
        <v>20.433</v>
      </c>
      <c r="K26" s="13">
        <f t="shared" si="8"/>
        <v>0.895</v>
      </c>
      <c r="L26" s="10">
        <f t="shared" si="9"/>
        <v>0.181</v>
      </c>
      <c r="M26" s="10">
        <f t="shared" si="10"/>
        <v>0.07471312793</v>
      </c>
      <c r="N26" s="14">
        <f t="shared" si="11"/>
        <v>8.35</v>
      </c>
      <c r="O26" s="9">
        <f t="shared" si="12"/>
        <v>539</v>
      </c>
      <c r="P26" s="9">
        <f t="shared" si="13"/>
        <v>4.64</v>
      </c>
    </row>
    <row r="27">
      <c r="A27" s="8">
        <v>26.0</v>
      </c>
      <c r="B27" s="8">
        <v>0.01</v>
      </c>
      <c r="C27" s="8">
        <v>0.442</v>
      </c>
      <c r="D27" s="9">
        <f t="shared" si="1"/>
        <v>112.84</v>
      </c>
      <c r="E27" s="9">
        <f t="shared" si="2"/>
        <v>0.64</v>
      </c>
      <c r="F27" s="10">
        <f t="shared" si="3"/>
        <v>2.059538553</v>
      </c>
      <c r="G27" s="11">
        <f t="shared" si="4"/>
        <v>70.51</v>
      </c>
      <c r="H27" s="10">
        <f t="shared" si="5"/>
        <v>34.482</v>
      </c>
      <c r="I27" s="10">
        <f t="shared" si="6"/>
        <v>13.93</v>
      </c>
      <c r="J27" s="12">
        <f t="shared" si="7"/>
        <v>19.756</v>
      </c>
      <c r="K27" s="13">
        <f t="shared" si="8"/>
        <v>0.885</v>
      </c>
      <c r="L27" s="10">
        <f t="shared" si="9"/>
        <v>0.184</v>
      </c>
      <c r="M27" s="10">
        <f t="shared" si="10"/>
        <v>0.07431920837</v>
      </c>
      <c r="N27" s="14">
        <f t="shared" si="11"/>
        <v>8.4</v>
      </c>
      <c r="O27" s="9">
        <f t="shared" si="12"/>
        <v>539</v>
      </c>
      <c r="P27" s="9">
        <f t="shared" si="13"/>
        <v>4.82</v>
      </c>
    </row>
    <row r="28">
      <c r="A28" s="8">
        <v>27.0</v>
      </c>
      <c r="B28" s="8">
        <v>0.003</v>
      </c>
      <c r="C28" s="8">
        <v>0.206</v>
      </c>
      <c r="D28" s="9">
        <f t="shared" si="1"/>
        <v>61.8</v>
      </c>
      <c r="E28" s="9">
        <f t="shared" si="2"/>
        <v>0.89</v>
      </c>
      <c r="F28" s="10">
        <f t="shared" si="3"/>
        <v>2.055529439</v>
      </c>
      <c r="G28" s="11">
        <f t="shared" si="4"/>
        <v>70.18</v>
      </c>
      <c r="H28" s="10">
        <f t="shared" si="5"/>
        <v>33.854</v>
      </c>
      <c r="I28" s="10">
        <f t="shared" si="6"/>
        <v>13.39</v>
      </c>
      <c r="J28" s="12">
        <f t="shared" si="7"/>
        <v>19.08</v>
      </c>
      <c r="K28" s="13">
        <f t="shared" si="8"/>
        <v>0.885</v>
      </c>
      <c r="L28" s="10">
        <f t="shared" si="9"/>
        <v>0.18</v>
      </c>
      <c r="M28" s="10">
        <f t="shared" si="10"/>
        <v>0.07120562848</v>
      </c>
      <c r="N28" s="14">
        <f t="shared" si="11"/>
        <v>8.05</v>
      </c>
      <c r="O28" s="9">
        <f t="shared" si="12"/>
        <v>539</v>
      </c>
      <c r="P28" s="9">
        <f t="shared" si="13"/>
        <v>5.01</v>
      </c>
    </row>
    <row r="29">
      <c r="A29" s="8">
        <v>28.0</v>
      </c>
      <c r="B29" s="15">
        <v>8.912E-4</v>
      </c>
      <c r="C29" s="8">
        <v>0.108</v>
      </c>
      <c r="D29" s="9">
        <f t="shared" si="1"/>
        <v>33.69</v>
      </c>
      <c r="E29" s="16">
        <f t="shared" si="2"/>
        <v>0.96</v>
      </c>
      <c r="F29" s="10">
        <f t="shared" si="3"/>
        <v>2.051830516</v>
      </c>
      <c r="G29" s="11">
        <f t="shared" si="4"/>
        <v>68.88</v>
      </c>
      <c r="H29" s="10">
        <f t="shared" si="5"/>
        <v>33.93</v>
      </c>
      <c r="I29" s="10">
        <f t="shared" si="6"/>
        <v>13.16</v>
      </c>
      <c r="J29" s="12">
        <f t="shared" si="7"/>
        <v>19.106</v>
      </c>
      <c r="K29" s="13">
        <f t="shared" si="8"/>
        <v>0.888</v>
      </c>
      <c r="L29" s="10">
        <f t="shared" si="9"/>
        <v>0.178</v>
      </c>
      <c r="M29" s="10">
        <f t="shared" si="10"/>
        <v>0.06902119455</v>
      </c>
      <c r="N29" s="14">
        <f t="shared" si="11"/>
        <v>7.77</v>
      </c>
      <c r="O29" s="9">
        <f t="shared" si="12"/>
        <v>539</v>
      </c>
      <c r="P29" s="9">
        <f t="shared" si="13"/>
        <v>5.19</v>
      </c>
    </row>
    <row r="30">
      <c r="A30" s="8">
        <v>29.0</v>
      </c>
      <c r="B30" s="8">
        <v>0.001</v>
      </c>
      <c r="C30" s="8">
        <v>0.12</v>
      </c>
      <c r="D30" s="9">
        <f t="shared" si="1"/>
        <v>35.68</v>
      </c>
      <c r="E30" s="9">
        <f t="shared" si="2"/>
        <v>0.87</v>
      </c>
      <c r="F30" s="10">
        <f t="shared" si="3"/>
        <v>2.048407142</v>
      </c>
      <c r="G30" s="11">
        <f t="shared" si="4"/>
        <v>67.74</v>
      </c>
      <c r="H30" s="10">
        <f t="shared" si="5"/>
        <v>33.884</v>
      </c>
      <c r="I30" s="10">
        <f t="shared" si="6"/>
        <v>12.89</v>
      </c>
      <c r="J30" s="12">
        <f t="shared" si="7"/>
        <v>19.029</v>
      </c>
      <c r="K30" s="13">
        <f t="shared" si="8"/>
        <v>0.887</v>
      </c>
      <c r="L30" s="10">
        <f t="shared" si="9"/>
        <v>0.174</v>
      </c>
      <c r="M30" s="10">
        <f t="shared" si="10"/>
        <v>0.0661860603</v>
      </c>
      <c r="N30" s="14">
        <f t="shared" si="11"/>
        <v>7.46</v>
      </c>
      <c r="O30" s="9">
        <f t="shared" si="12"/>
        <v>539</v>
      </c>
      <c r="P30" s="9">
        <f t="shared" si="13"/>
        <v>5.38</v>
      </c>
    </row>
    <row r="31">
      <c r="A31" s="8">
        <v>30.0</v>
      </c>
      <c r="B31" s="8">
        <v>0.003</v>
      </c>
      <c r="C31" s="8">
        <v>0.196</v>
      </c>
      <c r="D31" s="9">
        <f t="shared" si="1"/>
        <v>61.8</v>
      </c>
      <c r="E31" s="9">
        <f t="shared" si="2"/>
        <v>0.98</v>
      </c>
      <c r="F31" s="10">
        <f t="shared" si="3"/>
        <v>2.045229642</v>
      </c>
      <c r="G31" s="11">
        <f t="shared" si="4"/>
        <v>67.54</v>
      </c>
      <c r="H31" s="10">
        <f t="shared" si="5"/>
        <v>33.312</v>
      </c>
      <c r="I31" s="10">
        <f t="shared" si="6"/>
        <v>12.44</v>
      </c>
      <c r="J31" s="12">
        <f t="shared" si="7"/>
        <v>18.419</v>
      </c>
      <c r="K31" s="13">
        <f t="shared" si="8"/>
        <v>0.89</v>
      </c>
      <c r="L31" s="10">
        <f t="shared" si="9"/>
        <v>0.172</v>
      </c>
      <c r="M31" s="10">
        <f t="shared" si="10"/>
        <v>0.06422585552</v>
      </c>
      <c r="N31" s="14">
        <f t="shared" si="11"/>
        <v>7.22</v>
      </c>
      <c r="O31" s="9">
        <f t="shared" si="12"/>
        <v>539</v>
      </c>
      <c r="P31" s="9">
        <f t="shared" si="13"/>
        <v>5.57</v>
      </c>
    </row>
    <row r="32">
      <c r="A32" s="8">
        <v>31.0</v>
      </c>
      <c r="B32" s="8">
        <v>0.002</v>
      </c>
      <c r="C32" s="8">
        <v>0.148</v>
      </c>
      <c r="D32" s="9">
        <f t="shared" si="1"/>
        <v>50.46</v>
      </c>
      <c r="E32" s="9">
        <f t="shared" si="2"/>
        <v>1.15</v>
      </c>
      <c r="F32" s="10">
        <f t="shared" si="3"/>
        <v>2.042272456</v>
      </c>
      <c r="G32" s="11">
        <f t="shared" si="4"/>
        <v>66.99</v>
      </c>
      <c r="H32" s="10">
        <f t="shared" si="5"/>
        <v>32.896</v>
      </c>
      <c r="I32" s="10">
        <f t="shared" si="6"/>
        <v>12.07</v>
      </c>
      <c r="J32" s="12">
        <f t="shared" si="7"/>
        <v>18.018</v>
      </c>
      <c r="K32" s="13">
        <f t="shared" si="8"/>
        <v>0.899</v>
      </c>
      <c r="L32" s="10">
        <f t="shared" si="9"/>
        <v>0.176</v>
      </c>
      <c r="M32" s="10">
        <f t="shared" si="10"/>
        <v>0.06455732119</v>
      </c>
      <c r="N32" s="14">
        <f t="shared" si="11"/>
        <v>7.18</v>
      </c>
      <c r="O32" s="9">
        <f t="shared" si="12"/>
        <v>539</v>
      </c>
      <c r="P32" s="9">
        <f t="shared" si="13"/>
        <v>5.75</v>
      </c>
    </row>
    <row r="33">
      <c r="A33" s="8">
        <v>32.0</v>
      </c>
      <c r="B33" s="8">
        <v>0.003</v>
      </c>
      <c r="C33" s="8">
        <v>0.21</v>
      </c>
      <c r="D33" s="9">
        <f t="shared" si="1"/>
        <v>61.8</v>
      </c>
      <c r="E33" s="9">
        <f t="shared" si="2"/>
        <v>0.85</v>
      </c>
      <c r="F33" s="10">
        <f t="shared" si="3"/>
        <v>2.039513446</v>
      </c>
      <c r="G33" s="11">
        <f t="shared" si="4"/>
        <v>66.83</v>
      </c>
      <c r="H33" s="10">
        <f t="shared" si="5"/>
        <v>32.374</v>
      </c>
      <c r="I33" s="10">
        <f t="shared" si="6"/>
        <v>11.67</v>
      </c>
      <c r="J33" s="12">
        <f t="shared" si="7"/>
        <v>17.462</v>
      </c>
      <c r="K33" s="13">
        <f t="shared" si="8"/>
        <v>0.897</v>
      </c>
      <c r="L33" s="10">
        <f t="shared" si="9"/>
        <v>0.173</v>
      </c>
      <c r="M33" s="10">
        <f t="shared" si="10"/>
        <v>0.06237315134</v>
      </c>
      <c r="N33" s="14">
        <f t="shared" si="11"/>
        <v>6.95</v>
      </c>
      <c r="O33" s="9">
        <f t="shared" si="12"/>
        <v>539</v>
      </c>
      <c r="P33" s="9">
        <f t="shared" si="13"/>
        <v>5.94</v>
      </c>
    </row>
    <row r="34">
      <c r="A34" s="8">
        <v>33.0</v>
      </c>
      <c r="B34" s="8">
        <v>0.003</v>
      </c>
      <c r="C34" s="8">
        <v>0.274</v>
      </c>
      <c r="D34" s="9">
        <f t="shared" si="1"/>
        <v>61.8</v>
      </c>
      <c r="E34" s="9">
        <f t="shared" si="2"/>
        <v>0.5</v>
      </c>
      <c r="F34" s="10">
        <f t="shared" si="3"/>
        <v>2.036933343</v>
      </c>
      <c r="G34" s="11">
        <f t="shared" si="4"/>
        <v>66.67</v>
      </c>
      <c r="H34" s="10">
        <f t="shared" si="5"/>
        <v>31.876</v>
      </c>
      <c r="I34" s="10">
        <f t="shared" si="6"/>
        <v>11.3</v>
      </c>
      <c r="J34" s="12">
        <f t="shared" si="7"/>
        <v>16.949</v>
      </c>
      <c r="K34" s="13">
        <f t="shared" si="8"/>
        <v>0.885</v>
      </c>
      <c r="L34" s="10">
        <f t="shared" si="9"/>
        <v>0.184</v>
      </c>
      <c r="M34" s="10">
        <f t="shared" si="10"/>
        <v>0.06524356305</v>
      </c>
      <c r="N34" s="14">
        <f t="shared" si="11"/>
        <v>7.37</v>
      </c>
      <c r="O34" s="9">
        <f t="shared" si="12"/>
        <v>539</v>
      </c>
      <c r="P34" s="9">
        <f t="shared" si="13"/>
        <v>6.12</v>
      </c>
    </row>
    <row r="35">
      <c r="A35" s="8">
        <v>34.0</v>
      </c>
      <c r="B35" s="8">
        <v>0.001</v>
      </c>
      <c r="C35" s="8">
        <v>0.146</v>
      </c>
      <c r="D35" s="9">
        <f t="shared" si="1"/>
        <v>35.68</v>
      </c>
      <c r="E35" s="9">
        <f t="shared" si="2"/>
        <v>0.59</v>
      </c>
      <c r="F35" s="10">
        <f t="shared" si="3"/>
        <v>2.034515297</v>
      </c>
      <c r="G35" s="11">
        <f t="shared" si="4"/>
        <v>65.76</v>
      </c>
      <c r="H35" s="10">
        <f t="shared" si="5"/>
        <v>31.836</v>
      </c>
      <c r="I35" s="10">
        <f t="shared" si="6"/>
        <v>11.11</v>
      </c>
      <c r="J35" s="12">
        <f t="shared" si="7"/>
        <v>16.895</v>
      </c>
      <c r="K35" s="13">
        <f t="shared" si="8"/>
        <v>0.876</v>
      </c>
      <c r="L35" s="10">
        <f t="shared" si="9"/>
        <v>0.188</v>
      </c>
      <c r="M35" s="10">
        <f t="shared" si="10"/>
        <v>0.06559630105</v>
      </c>
      <c r="N35" s="14">
        <f t="shared" si="11"/>
        <v>7.49</v>
      </c>
      <c r="O35" s="9">
        <f t="shared" si="12"/>
        <v>539</v>
      </c>
      <c r="P35" s="9">
        <f t="shared" si="13"/>
        <v>6.31</v>
      </c>
    </row>
    <row r="36">
      <c r="A36" s="8">
        <v>35.0</v>
      </c>
      <c r="B36" s="8">
        <v>0.003</v>
      </c>
      <c r="C36" s="8">
        <v>0.219</v>
      </c>
      <c r="D36" s="9">
        <f t="shared" si="1"/>
        <v>61.8</v>
      </c>
      <c r="E36" s="9">
        <f t="shared" si="2"/>
        <v>0.79</v>
      </c>
      <c r="F36" s="10">
        <f t="shared" si="3"/>
        <v>2.032244509</v>
      </c>
      <c r="G36" s="11">
        <f t="shared" si="4"/>
        <v>65.65</v>
      </c>
      <c r="H36" s="10">
        <f t="shared" si="5"/>
        <v>31.372</v>
      </c>
      <c r="I36" s="10">
        <f t="shared" si="6"/>
        <v>10.78</v>
      </c>
      <c r="J36" s="12">
        <f t="shared" si="7"/>
        <v>16.42</v>
      </c>
      <c r="K36" s="13">
        <f t="shared" si="8"/>
        <v>0.874</v>
      </c>
      <c r="L36" s="10">
        <f t="shared" si="9"/>
        <v>0.186</v>
      </c>
      <c r="M36" s="10">
        <f t="shared" si="10"/>
        <v>0.06389323549</v>
      </c>
      <c r="N36" s="14">
        <f t="shared" si="11"/>
        <v>7.31</v>
      </c>
      <c r="O36" s="9">
        <f t="shared" si="12"/>
        <v>539</v>
      </c>
      <c r="P36" s="9">
        <f t="shared" si="13"/>
        <v>6.49</v>
      </c>
    </row>
    <row r="37">
      <c r="A37" s="8">
        <v>36.0</v>
      </c>
      <c r="B37" s="8">
        <v>0.001</v>
      </c>
      <c r="C37" s="8">
        <v>0.14</v>
      </c>
      <c r="D37" s="9">
        <f t="shared" si="1"/>
        <v>35.68</v>
      </c>
      <c r="E37" s="9">
        <f t="shared" si="2"/>
        <v>0.64</v>
      </c>
      <c r="F37" s="10">
        <f t="shared" si="3"/>
        <v>2.030107928</v>
      </c>
      <c r="G37" s="11">
        <f t="shared" si="4"/>
        <v>64.82</v>
      </c>
      <c r="H37" s="10">
        <f t="shared" si="5"/>
        <v>31.321</v>
      </c>
      <c r="I37" s="10">
        <f t="shared" si="6"/>
        <v>10.6</v>
      </c>
      <c r="J37" s="12">
        <f t="shared" si="7"/>
        <v>16.353</v>
      </c>
      <c r="K37" s="13">
        <f t="shared" si="8"/>
        <v>0.868</v>
      </c>
      <c r="L37" s="10">
        <f t="shared" si="9"/>
        <v>0.187</v>
      </c>
      <c r="M37" s="10">
        <f t="shared" si="10"/>
        <v>0.0632716971</v>
      </c>
      <c r="N37" s="14">
        <f t="shared" si="11"/>
        <v>7.29</v>
      </c>
      <c r="O37" s="9">
        <f t="shared" si="12"/>
        <v>539</v>
      </c>
      <c r="P37" s="9">
        <f t="shared" si="13"/>
        <v>6.68</v>
      </c>
    </row>
    <row r="38">
      <c r="A38" s="8">
        <v>37.0</v>
      </c>
      <c r="B38" s="8">
        <v>0.002</v>
      </c>
      <c r="C38" s="8">
        <v>0.147</v>
      </c>
      <c r="D38" s="9">
        <f t="shared" si="1"/>
        <v>50.46</v>
      </c>
      <c r="E38" s="9">
        <f t="shared" si="2"/>
        <v>1.16</v>
      </c>
      <c r="F38" s="10">
        <f t="shared" si="3"/>
        <v>2.028094001</v>
      </c>
      <c r="G38" s="11">
        <f t="shared" si="4"/>
        <v>64.43</v>
      </c>
      <c r="H38" s="10">
        <f t="shared" si="5"/>
        <v>30.973</v>
      </c>
      <c r="I38" s="10">
        <f t="shared" si="6"/>
        <v>10.33</v>
      </c>
      <c r="J38" s="12">
        <f t="shared" si="7"/>
        <v>16.033</v>
      </c>
      <c r="K38" s="13">
        <f t="shared" si="8"/>
        <v>0.875</v>
      </c>
      <c r="L38" s="10">
        <f t="shared" si="9"/>
        <v>0.191</v>
      </c>
      <c r="M38" s="10">
        <f t="shared" si="10"/>
        <v>0.06368257058</v>
      </c>
      <c r="N38" s="14">
        <f t="shared" si="11"/>
        <v>7.28</v>
      </c>
      <c r="O38" s="9">
        <f t="shared" si="12"/>
        <v>539</v>
      </c>
      <c r="P38" s="9">
        <f t="shared" si="13"/>
        <v>6.86</v>
      </c>
    </row>
    <row r="39">
      <c r="A39" s="8">
        <v>38.0</v>
      </c>
      <c r="B39" s="8">
        <v>0.002</v>
      </c>
      <c r="C39" s="8">
        <v>0.165</v>
      </c>
      <c r="D39" s="9">
        <f t="shared" si="1"/>
        <v>50.46</v>
      </c>
      <c r="E39" s="9">
        <f t="shared" si="2"/>
        <v>0.92</v>
      </c>
      <c r="F39" s="10">
        <f t="shared" si="3"/>
        <v>2.026192463</v>
      </c>
      <c r="G39" s="11">
        <f t="shared" si="4"/>
        <v>64.06</v>
      </c>
      <c r="H39" s="10">
        <f t="shared" si="5"/>
        <v>30.635</v>
      </c>
      <c r="I39" s="10">
        <f t="shared" si="6"/>
        <v>10.07</v>
      </c>
      <c r="J39" s="12">
        <f t="shared" si="7"/>
        <v>15.72</v>
      </c>
      <c r="K39" s="13">
        <f t="shared" si="8"/>
        <v>0.877</v>
      </c>
      <c r="L39" s="10">
        <f t="shared" si="9"/>
        <v>0.188</v>
      </c>
      <c r="M39" s="10">
        <f t="shared" si="10"/>
        <v>0.06179406232</v>
      </c>
      <c r="N39" s="14">
        <f t="shared" si="11"/>
        <v>7.05</v>
      </c>
      <c r="O39" s="9">
        <f t="shared" si="12"/>
        <v>539</v>
      </c>
      <c r="P39" s="9">
        <f t="shared" si="13"/>
        <v>7.05</v>
      </c>
    </row>
    <row r="40">
      <c r="A40" s="8">
        <v>39.0</v>
      </c>
      <c r="B40" s="8">
        <v>0.001</v>
      </c>
      <c r="C40" s="8">
        <v>0.127</v>
      </c>
      <c r="D40" s="9">
        <f t="shared" si="1"/>
        <v>35.68</v>
      </c>
      <c r="E40" s="9">
        <f t="shared" si="2"/>
        <v>0.78</v>
      </c>
      <c r="F40" s="10">
        <f t="shared" si="3"/>
        <v>2.024394164</v>
      </c>
      <c r="G40" s="11">
        <f t="shared" si="4"/>
        <v>63.33</v>
      </c>
      <c r="H40" s="10">
        <f t="shared" si="5"/>
        <v>30.569</v>
      </c>
      <c r="I40" s="10">
        <f t="shared" si="6"/>
        <v>9.91</v>
      </c>
      <c r="J40" s="12">
        <f t="shared" si="7"/>
        <v>15.648</v>
      </c>
      <c r="K40" s="13">
        <f t="shared" si="8"/>
        <v>0.874</v>
      </c>
      <c r="L40" s="10">
        <f t="shared" si="9"/>
        <v>0.186</v>
      </c>
      <c r="M40" s="10">
        <f t="shared" si="10"/>
        <v>0.06029422501</v>
      </c>
      <c r="N40" s="14">
        <f t="shared" si="11"/>
        <v>6.9</v>
      </c>
      <c r="O40" s="9">
        <f t="shared" si="12"/>
        <v>539</v>
      </c>
      <c r="P40" s="9">
        <f t="shared" si="13"/>
        <v>7.24</v>
      </c>
    </row>
    <row r="41">
      <c r="A41" s="8">
        <v>40.0</v>
      </c>
      <c r="B41" s="15">
        <v>9.485E-4</v>
      </c>
      <c r="C41" s="8">
        <v>0.112</v>
      </c>
      <c r="D41" s="9">
        <f t="shared" si="1"/>
        <v>34.75</v>
      </c>
      <c r="E41" s="16">
        <f t="shared" si="2"/>
        <v>0.95</v>
      </c>
      <c r="F41" s="10">
        <f t="shared" si="3"/>
        <v>2.02269092</v>
      </c>
      <c r="G41" s="11">
        <f t="shared" si="4"/>
        <v>62.62</v>
      </c>
      <c r="H41" s="10">
        <f t="shared" si="5"/>
        <v>30.511</v>
      </c>
      <c r="I41" s="10">
        <f t="shared" si="6"/>
        <v>9.76</v>
      </c>
      <c r="J41" s="12">
        <f t="shared" si="7"/>
        <v>15.586</v>
      </c>
      <c r="K41" s="13">
        <f t="shared" si="8"/>
        <v>0.876</v>
      </c>
      <c r="L41" s="10">
        <f t="shared" si="9"/>
        <v>0.184</v>
      </c>
      <c r="M41" s="10">
        <f t="shared" si="10"/>
        <v>0.05884605485</v>
      </c>
      <c r="N41" s="14">
        <f t="shared" si="11"/>
        <v>6.72</v>
      </c>
      <c r="O41" s="9">
        <f t="shared" si="12"/>
        <v>539</v>
      </c>
      <c r="P41" s="9">
        <f t="shared" si="13"/>
        <v>7.42</v>
      </c>
    </row>
    <row r="42">
      <c r="A42" s="8">
        <v>41.0</v>
      </c>
      <c r="B42" s="8">
        <v>0.002</v>
      </c>
      <c r="C42" s="8">
        <v>0.177</v>
      </c>
      <c r="D42" s="9">
        <f t="shared" si="1"/>
        <v>50.46</v>
      </c>
      <c r="E42" s="9">
        <f t="shared" si="2"/>
        <v>0.8</v>
      </c>
      <c r="F42" s="10">
        <f t="shared" si="3"/>
        <v>2.02107539</v>
      </c>
      <c r="G42" s="11">
        <f t="shared" si="4"/>
        <v>62.32</v>
      </c>
      <c r="H42" s="10">
        <f t="shared" si="5"/>
        <v>30.187</v>
      </c>
      <c r="I42" s="10">
        <f t="shared" si="6"/>
        <v>9.53</v>
      </c>
      <c r="J42" s="12">
        <f t="shared" si="7"/>
        <v>15.292</v>
      </c>
      <c r="K42" s="13">
        <f t="shared" si="8"/>
        <v>0.874</v>
      </c>
      <c r="L42" s="10">
        <f t="shared" si="9"/>
        <v>0.182</v>
      </c>
      <c r="M42" s="10">
        <f t="shared" si="10"/>
        <v>0.05744628831</v>
      </c>
      <c r="N42" s="14">
        <f t="shared" si="11"/>
        <v>6.57</v>
      </c>
      <c r="O42" s="9">
        <f t="shared" si="12"/>
        <v>539</v>
      </c>
      <c r="P42" s="9">
        <f t="shared" si="13"/>
        <v>7.61</v>
      </c>
    </row>
    <row r="43">
      <c r="A43" s="8">
        <v>42.0</v>
      </c>
      <c r="B43" s="8">
        <v>0.001</v>
      </c>
      <c r="C43" s="8">
        <v>0.157</v>
      </c>
      <c r="D43" s="9">
        <f t="shared" si="1"/>
        <v>35.68</v>
      </c>
      <c r="E43" s="9">
        <f t="shared" si="2"/>
        <v>0.51</v>
      </c>
      <c r="F43" s="10">
        <f t="shared" si="3"/>
        <v>2.01954097</v>
      </c>
      <c r="G43" s="11">
        <f t="shared" si="4"/>
        <v>61.69</v>
      </c>
      <c r="H43" s="10">
        <f t="shared" si="5"/>
        <v>30.099</v>
      </c>
      <c r="I43" s="10">
        <f t="shared" si="6"/>
        <v>9.38</v>
      </c>
      <c r="J43" s="12">
        <f t="shared" si="7"/>
        <v>15.205</v>
      </c>
      <c r="K43" s="13">
        <f t="shared" si="8"/>
        <v>0.865</v>
      </c>
      <c r="L43" s="10">
        <f t="shared" si="9"/>
        <v>0.189</v>
      </c>
      <c r="M43" s="10">
        <f t="shared" si="10"/>
        <v>0.05889654612</v>
      </c>
      <c r="N43" s="14">
        <f t="shared" si="11"/>
        <v>6.81</v>
      </c>
      <c r="O43" s="9">
        <f t="shared" si="12"/>
        <v>539</v>
      </c>
      <c r="P43" s="9">
        <f t="shared" si="13"/>
        <v>7.79</v>
      </c>
    </row>
    <row r="44">
      <c r="A44" s="8">
        <v>43.0</v>
      </c>
      <c r="B44" s="15">
        <v>7.639E-5</v>
      </c>
      <c r="C44" s="8">
        <v>0.037</v>
      </c>
      <c r="D44" s="9">
        <f t="shared" si="1"/>
        <v>9.86</v>
      </c>
      <c r="E44" s="16">
        <f t="shared" si="2"/>
        <v>0.7</v>
      </c>
      <c r="F44" s="10">
        <f t="shared" si="3"/>
        <v>2.018081703</v>
      </c>
      <c r="G44" s="11">
        <f t="shared" si="4"/>
        <v>60.48</v>
      </c>
      <c r="H44" s="10">
        <f t="shared" si="5"/>
        <v>30.771</v>
      </c>
      <c r="I44" s="10">
        <f t="shared" si="6"/>
        <v>9.47</v>
      </c>
      <c r="J44" s="12">
        <f t="shared" si="7"/>
        <v>15.658</v>
      </c>
      <c r="K44" s="13">
        <f t="shared" si="8"/>
        <v>0.862</v>
      </c>
      <c r="L44" s="10">
        <f t="shared" si="9"/>
        <v>0.188</v>
      </c>
      <c r="M44" s="10">
        <f t="shared" si="10"/>
        <v>0.05785786</v>
      </c>
      <c r="N44" s="14">
        <f t="shared" si="11"/>
        <v>6.71</v>
      </c>
      <c r="O44" s="9">
        <f t="shared" si="12"/>
        <v>539</v>
      </c>
      <c r="P44" s="9">
        <f t="shared" si="13"/>
        <v>7.98</v>
      </c>
    </row>
    <row r="45">
      <c r="A45" s="8">
        <v>44.0</v>
      </c>
      <c r="B45" s="8">
        <v>0.003</v>
      </c>
      <c r="C45" s="8">
        <v>0.188</v>
      </c>
      <c r="D45" s="9">
        <f t="shared" si="1"/>
        <v>61.8</v>
      </c>
      <c r="E45" s="9">
        <f t="shared" si="2"/>
        <v>1.07</v>
      </c>
      <c r="F45" s="10">
        <f t="shared" si="3"/>
        <v>2.016692199</v>
      </c>
      <c r="G45" s="11">
        <f t="shared" si="4"/>
        <v>60.51</v>
      </c>
      <c r="H45" s="10">
        <f t="shared" si="5"/>
        <v>30.412</v>
      </c>
      <c r="I45" s="10">
        <f t="shared" si="6"/>
        <v>9.25</v>
      </c>
      <c r="J45" s="12">
        <f t="shared" si="7"/>
        <v>15.287</v>
      </c>
      <c r="K45" s="13">
        <f t="shared" si="8"/>
        <v>0.866</v>
      </c>
      <c r="L45" s="10">
        <f t="shared" si="9"/>
        <v>0.189</v>
      </c>
      <c r="M45" s="10">
        <f t="shared" si="10"/>
        <v>0.05746125199</v>
      </c>
      <c r="N45" s="14">
        <f t="shared" si="11"/>
        <v>6.64</v>
      </c>
      <c r="O45" s="9">
        <f t="shared" si="12"/>
        <v>539</v>
      </c>
      <c r="P45" s="9">
        <f t="shared" si="13"/>
        <v>8.16</v>
      </c>
    </row>
    <row r="46">
      <c r="A46" s="8">
        <v>45.0</v>
      </c>
      <c r="B46" s="8">
        <v>0.003</v>
      </c>
      <c r="C46" s="8">
        <v>0.265</v>
      </c>
      <c r="D46" s="9">
        <f t="shared" si="1"/>
        <v>61.8</v>
      </c>
      <c r="E46" s="9">
        <f t="shared" si="2"/>
        <v>0.54</v>
      </c>
      <c r="F46" s="10">
        <f t="shared" si="3"/>
        <v>2.015367574</v>
      </c>
      <c r="G46" s="11">
        <f t="shared" si="4"/>
        <v>60.54</v>
      </c>
      <c r="H46" s="10">
        <f t="shared" si="5"/>
        <v>30.065</v>
      </c>
      <c r="I46" s="10">
        <f t="shared" si="6"/>
        <v>9.03</v>
      </c>
      <c r="J46" s="12">
        <f t="shared" si="7"/>
        <v>14.916</v>
      </c>
      <c r="K46" s="13">
        <f t="shared" si="8"/>
        <v>0.859</v>
      </c>
      <c r="L46" s="10">
        <f t="shared" si="9"/>
        <v>0.193</v>
      </c>
      <c r="M46" s="10">
        <f t="shared" si="10"/>
        <v>0.05798361913</v>
      </c>
      <c r="N46" s="14">
        <f t="shared" si="11"/>
        <v>6.75</v>
      </c>
      <c r="O46" s="9">
        <f t="shared" si="12"/>
        <v>539</v>
      </c>
      <c r="P46" s="9">
        <f t="shared" si="13"/>
        <v>8.35</v>
      </c>
    </row>
    <row r="47">
      <c r="A47" s="8">
        <v>46.0</v>
      </c>
      <c r="B47" s="8">
        <v>0.003</v>
      </c>
      <c r="C47" s="8">
        <v>0.215</v>
      </c>
      <c r="D47" s="9">
        <f t="shared" si="1"/>
        <v>61.8</v>
      </c>
      <c r="E47" s="9">
        <f t="shared" si="2"/>
        <v>0.82</v>
      </c>
      <c r="F47" s="10">
        <f t="shared" si="3"/>
        <v>2.014103389</v>
      </c>
      <c r="G47" s="11">
        <f t="shared" si="4"/>
        <v>60.57</v>
      </c>
      <c r="H47" s="10">
        <f t="shared" si="5"/>
        <v>29.729</v>
      </c>
      <c r="I47" s="10">
        <f t="shared" si="6"/>
        <v>8.83</v>
      </c>
      <c r="J47" s="12">
        <f t="shared" si="7"/>
        <v>14.578</v>
      </c>
      <c r="K47" s="13">
        <f t="shared" si="8"/>
        <v>0.858</v>
      </c>
      <c r="L47" s="10">
        <f t="shared" si="9"/>
        <v>0.191</v>
      </c>
      <c r="M47" s="10">
        <f t="shared" si="10"/>
        <v>0.05671999862</v>
      </c>
      <c r="N47" s="14">
        <f t="shared" si="11"/>
        <v>6.61</v>
      </c>
      <c r="O47" s="9">
        <f t="shared" si="12"/>
        <v>539</v>
      </c>
      <c r="P47" s="9">
        <f t="shared" si="13"/>
        <v>8.53</v>
      </c>
    </row>
    <row r="48">
      <c r="A48" s="8">
        <v>47.0</v>
      </c>
      <c r="B48" s="8">
        <v>0.002</v>
      </c>
      <c r="C48" s="8">
        <v>0.163</v>
      </c>
      <c r="D48" s="9">
        <f t="shared" si="1"/>
        <v>50.46</v>
      </c>
      <c r="E48" s="9">
        <f t="shared" si="2"/>
        <v>0.95</v>
      </c>
      <c r="F48" s="10">
        <f t="shared" si="3"/>
        <v>2.012895599</v>
      </c>
      <c r="G48" s="11">
        <f t="shared" si="4"/>
        <v>60.35</v>
      </c>
      <c r="H48" s="10">
        <f t="shared" si="5"/>
        <v>29.441</v>
      </c>
      <c r="I48" s="10">
        <f t="shared" si="6"/>
        <v>8.64</v>
      </c>
      <c r="J48" s="12">
        <f t="shared" si="7"/>
        <v>14.316</v>
      </c>
      <c r="K48" s="13">
        <f t="shared" si="8"/>
        <v>0.86</v>
      </c>
      <c r="L48" s="10">
        <f t="shared" si="9"/>
        <v>0.189</v>
      </c>
      <c r="M48" s="10">
        <f t="shared" si="10"/>
        <v>0.05549247889</v>
      </c>
      <c r="N48" s="14">
        <f t="shared" si="11"/>
        <v>6.45</v>
      </c>
      <c r="O48" s="9">
        <f t="shared" si="12"/>
        <v>539</v>
      </c>
      <c r="P48" s="9">
        <f t="shared" si="13"/>
        <v>8.72</v>
      </c>
    </row>
    <row r="49">
      <c r="A49" s="8">
        <v>48.0</v>
      </c>
      <c r="B49" s="8">
        <v>0.002</v>
      </c>
      <c r="C49" s="8">
        <v>0.172</v>
      </c>
      <c r="D49" s="9">
        <f t="shared" si="1"/>
        <v>50.46</v>
      </c>
      <c r="E49" s="9">
        <f t="shared" si="2"/>
        <v>0.85</v>
      </c>
      <c r="F49" s="10">
        <f t="shared" si="3"/>
        <v>2.011740514</v>
      </c>
      <c r="G49" s="11">
        <f t="shared" si="4"/>
        <v>60.15</v>
      </c>
      <c r="H49" s="10">
        <f t="shared" si="5"/>
        <v>29.161</v>
      </c>
      <c r="I49" s="10">
        <f t="shared" si="6"/>
        <v>8.47</v>
      </c>
      <c r="J49" s="12">
        <f t="shared" si="7"/>
        <v>14.081</v>
      </c>
      <c r="K49" s="13">
        <f t="shared" si="8"/>
        <v>0.86</v>
      </c>
      <c r="L49" s="10">
        <f t="shared" si="9"/>
        <v>0.187</v>
      </c>
      <c r="M49" s="10">
        <f t="shared" si="10"/>
        <v>0.05429913984</v>
      </c>
      <c r="N49" s="14">
        <f t="shared" si="11"/>
        <v>6.31</v>
      </c>
      <c r="O49" s="9">
        <f t="shared" si="12"/>
        <v>539</v>
      </c>
      <c r="P49" s="9">
        <f t="shared" si="13"/>
        <v>8.91</v>
      </c>
    </row>
    <row r="50">
      <c r="A50" s="8">
        <v>49.0</v>
      </c>
      <c r="B50" s="8">
        <v>0.002</v>
      </c>
      <c r="C50" s="8">
        <v>0.145</v>
      </c>
      <c r="D50" s="9">
        <f t="shared" si="1"/>
        <v>50.46</v>
      </c>
      <c r="E50" s="9">
        <f t="shared" si="2"/>
        <v>1.2</v>
      </c>
      <c r="F50" s="10">
        <f t="shared" si="3"/>
        <v>2.010634758</v>
      </c>
      <c r="G50" s="11">
        <f t="shared" si="4"/>
        <v>59.95</v>
      </c>
      <c r="H50" s="10">
        <f t="shared" si="5"/>
        <v>28.889</v>
      </c>
      <c r="I50" s="10">
        <f t="shared" si="6"/>
        <v>8.3</v>
      </c>
      <c r="J50" s="12">
        <f t="shared" si="7"/>
        <v>13.845</v>
      </c>
      <c r="K50" s="13">
        <f t="shared" si="8"/>
        <v>0.867</v>
      </c>
      <c r="L50" s="10">
        <f t="shared" si="9"/>
        <v>0.191</v>
      </c>
      <c r="M50" s="10">
        <f t="shared" si="10"/>
        <v>0.05486160553</v>
      </c>
      <c r="N50" s="14">
        <f t="shared" si="11"/>
        <v>6.33</v>
      </c>
      <c r="O50" s="9">
        <f t="shared" si="12"/>
        <v>539</v>
      </c>
      <c r="P50" s="9">
        <f t="shared" si="13"/>
        <v>9.09</v>
      </c>
    </row>
    <row r="51">
      <c r="A51" s="8">
        <v>50.0</v>
      </c>
      <c r="B51" s="8">
        <v>0.003</v>
      </c>
      <c r="C51" s="8">
        <v>0.211</v>
      </c>
      <c r="D51" s="9">
        <f t="shared" si="1"/>
        <v>61.8</v>
      </c>
      <c r="E51" s="9">
        <f t="shared" si="2"/>
        <v>0.85</v>
      </c>
      <c r="F51" s="10">
        <f t="shared" si="3"/>
        <v>2.009575237</v>
      </c>
      <c r="G51" s="11">
        <f t="shared" si="4"/>
        <v>59.99</v>
      </c>
      <c r="H51" s="10">
        <f t="shared" si="5"/>
        <v>28.594</v>
      </c>
      <c r="I51" s="10">
        <f t="shared" si="6"/>
        <v>8.13</v>
      </c>
      <c r="J51" s="12">
        <f t="shared" si="7"/>
        <v>13.552</v>
      </c>
      <c r="K51" s="13">
        <f t="shared" si="8"/>
        <v>0.867</v>
      </c>
      <c r="L51" s="10">
        <f t="shared" si="9"/>
        <v>0.189</v>
      </c>
      <c r="M51" s="10">
        <f t="shared" si="10"/>
        <v>0.05371320569</v>
      </c>
      <c r="N51" s="14">
        <f t="shared" si="11"/>
        <v>6.2</v>
      </c>
      <c r="O51" s="9">
        <f t="shared" si="12"/>
        <v>539</v>
      </c>
      <c r="P51" s="9">
        <f t="shared" si="13"/>
        <v>9.28</v>
      </c>
    </row>
    <row r="52">
      <c r="A52" s="8">
        <v>51.0</v>
      </c>
      <c r="B52" s="8">
        <v>0.005</v>
      </c>
      <c r="C52" s="8">
        <v>0.297</v>
      </c>
      <c r="D52" s="9">
        <f t="shared" si="1"/>
        <v>79.79</v>
      </c>
      <c r="E52" s="9">
        <f t="shared" si="2"/>
        <v>0.71</v>
      </c>
      <c r="F52" s="10">
        <f t="shared" si="3"/>
        <v>2.008559112</v>
      </c>
      <c r="G52" s="11">
        <f t="shared" si="4"/>
        <v>60.37</v>
      </c>
      <c r="H52" s="10">
        <f t="shared" si="5"/>
        <v>28.442</v>
      </c>
      <c r="I52" s="10">
        <f t="shared" si="6"/>
        <v>8</v>
      </c>
      <c r="J52" s="12">
        <f t="shared" si="7"/>
        <v>13.252</v>
      </c>
      <c r="K52" s="13">
        <f t="shared" si="8"/>
        <v>0.864</v>
      </c>
      <c r="L52" s="10">
        <f t="shared" si="9"/>
        <v>0.189</v>
      </c>
      <c r="M52" s="10">
        <f t="shared" si="10"/>
        <v>0.05315710659</v>
      </c>
      <c r="N52" s="14">
        <f t="shared" si="11"/>
        <v>6.15</v>
      </c>
      <c r="O52" s="9">
        <f t="shared" si="12"/>
        <v>539</v>
      </c>
      <c r="P52" s="9">
        <f t="shared" si="13"/>
        <v>9.46</v>
      </c>
    </row>
    <row r="53">
      <c r="A53" s="8">
        <v>52.0</v>
      </c>
      <c r="B53" s="8">
        <v>0.001</v>
      </c>
      <c r="C53" s="8">
        <v>0.129</v>
      </c>
      <c r="D53" s="9">
        <f t="shared" si="1"/>
        <v>35.68</v>
      </c>
      <c r="E53" s="9">
        <f t="shared" si="2"/>
        <v>0.76</v>
      </c>
      <c r="F53" s="10">
        <f t="shared" si="3"/>
        <v>2.00758377</v>
      </c>
      <c r="G53" s="11">
        <f t="shared" si="4"/>
        <v>59.9</v>
      </c>
      <c r="H53" s="10">
        <f t="shared" si="5"/>
        <v>28.369</v>
      </c>
      <c r="I53" s="10">
        <f t="shared" si="6"/>
        <v>7.9</v>
      </c>
      <c r="J53" s="12">
        <f t="shared" si="7"/>
        <v>13.189</v>
      </c>
      <c r="K53" s="13">
        <f t="shared" si="8"/>
        <v>0.862</v>
      </c>
      <c r="L53" s="10">
        <f t="shared" si="9"/>
        <v>0.187</v>
      </c>
      <c r="M53" s="10">
        <f t="shared" si="10"/>
        <v>0.05206113245</v>
      </c>
      <c r="N53" s="14">
        <f t="shared" si="11"/>
        <v>6.04</v>
      </c>
      <c r="O53" s="9">
        <f t="shared" si="12"/>
        <v>539</v>
      </c>
      <c r="P53" s="9">
        <f t="shared" si="13"/>
        <v>9.65</v>
      </c>
    </row>
    <row r="54">
      <c r="A54" s="8">
        <v>53.0</v>
      </c>
      <c r="B54" s="8">
        <v>0.003</v>
      </c>
      <c r="C54" s="8">
        <v>0.199</v>
      </c>
      <c r="D54" s="9">
        <f t="shared" si="1"/>
        <v>61.8</v>
      </c>
      <c r="E54" s="9">
        <f t="shared" si="2"/>
        <v>0.95</v>
      </c>
      <c r="F54" s="10">
        <f t="shared" si="3"/>
        <v>2.006646805</v>
      </c>
      <c r="G54" s="11">
        <f t="shared" si="4"/>
        <v>59.94</v>
      </c>
      <c r="H54" s="10">
        <f t="shared" si="5"/>
        <v>28.097</v>
      </c>
      <c r="I54" s="10">
        <f t="shared" si="6"/>
        <v>7.74</v>
      </c>
      <c r="J54" s="12">
        <f t="shared" si="7"/>
        <v>12.913</v>
      </c>
      <c r="K54" s="13">
        <f t="shared" si="8"/>
        <v>0.863</v>
      </c>
      <c r="L54" s="10">
        <f t="shared" si="9"/>
        <v>0.186</v>
      </c>
      <c r="M54" s="10">
        <f t="shared" si="10"/>
        <v>0.05126794944</v>
      </c>
      <c r="N54" s="14">
        <f t="shared" si="11"/>
        <v>5.94</v>
      </c>
      <c r="O54" s="9">
        <f t="shared" si="12"/>
        <v>539</v>
      </c>
      <c r="P54" s="9">
        <f t="shared" si="13"/>
        <v>9.83</v>
      </c>
    </row>
    <row r="55">
      <c r="A55" s="8">
        <v>54.0</v>
      </c>
      <c r="B55" s="8">
        <v>0.003</v>
      </c>
      <c r="C55" s="8">
        <v>0.196</v>
      </c>
      <c r="D55" s="9">
        <f t="shared" si="1"/>
        <v>61.8</v>
      </c>
      <c r="E55" s="9">
        <f t="shared" si="2"/>
        <v>0.98</v>
      </c>
      <c r="F55" s="10">
        <f t="shared" si="3"/>
        <v>2.005745995</v>
      </c>
      <c r="G55" s="11">
        <f t="shared" si="4"/>
        <v>59.97</v>
      </c>
      <c r="H55" s="10">
        <f t="shared" si="5"/>
        <v>27.831</v>
      </c>
      <c r="I55" s="10">
        <f t="shared" si="6"/>
        <v>7.6</v>
      </c>
      <c r="J55" s="12">
        <f t="shared" si="7"/>
        <v>12.673</v>
      </c>
      <c r="K55" s="13">
        <f t="shared" si="8"/>
        <v>0.865</v>
      </c>
      <c r="L55" s="10">
        <f t="shared" si="9"/>
        <v>0.185</v>
      </c>
      <c r="M55" s="10">
        <f t="shared" si="10"/>
        <v>0.05049527971</v>
      </c>
      <c r="N55" s="14">
        <f t="shared" si="11"/>
        <v>5.84</v>
      </c>
      <c r="O55" s="9">
        <f t="shared" si="12"/>
        <v>539</v>
      </c>
      <c r="P55" s="9">
        <f t="shared" si="13"/>
        <v>10.02</v>
      </c>
    </row>
    <row r="56">
      <c r="A56" s="8">
        <v>55.0</v>
      </c>
      <c r="B56" s="8">
        <v>0.003</v>
      </c>
      <c r="C56" s="8">
        <v>0.2</v>
      </c>
      <c r="D56" s="9">
        <f t="shared" si="1"/>
        <v>61.8</v>
      </c>
      <c r="E56" s="9">
        <f t="shared" si="2"/>
        <v>0.94</v>
      </c>
      <c r="F56" s="10">
        <f t="shared" si="3"/>
        <v>2.004879288</v>
      </c>
      <c r="G56" s="11">
        <f t="shared" si="4"/>
        <v>60</v>
      </c>
      <c r="H56" s="10">
        <f t="shared" si="5"/>
        <v>27.574</v>
      </c>
      <c r="I56" s="10">
        <f t="shared" si="6"/>
        <v>7.45</v>
      </c>
      <c r="J56" s="12">
        <f t="shared" si="7"/>
        <v>12.417</v>
      </c>
      <c r="K56" s="13">
        <f t="shared" si="8"/>
        <v>0.867</v>
      </c>
      <c r="L56" s="10">
        <f t="shared" si="9"/>
        <v>0.184</v>
      </c>
      <c r="M56" s="10">
        <f t="shared" si="10"/>
        <v>0.04974216772</v>
      </c>
      <c r="N56" s="14">
        <f t="shared" si="11"/>
        <v>5.74</v>
      </c>
      <c r="O56" s="9">
        <f t="shared" si="12"/>
        <v>539</v>
      </c>
      <c r="P56" s="9">
        <f t="shared" si="13"/>
        <v>10.2</v>
      </c>
    </row>
    <row r="57">
      <c r="A57" s="8">
        <v>56.0</v>
      </c>
      <c r="B57" s="8">
        <v>0.038</v>
      </c>
      <c r="C57" s="8">
        <v>0.856</v>
      </c>
      <c r="D57" s="9">
        <f t="shared" si="1"/>
        <v>219.96</v>
      </c>
      <c r="E57" s="9">
        <f t="shared" si="2"/>
        <v>0.65</v>
      </c>
      <c r="F57" s="10">
        <f t="shared" si="3"/>
        <v>2.004044783</v>
      </c>
      <c r="G57" s="11">
        <f t="shared" si="4"/>
        <v>62.86</v>
      </c>
      <c r="H57" s="10">
        <f t="shared" si="5"/>
        <v>34.69</v>
      </c>
      <c r="I57" s="10">
        <f t="shared" si="6"/>
        <v>9.29</v>
      </c>
      <c r="J57" s="12">
        <f t="shared" si="7"/>
        <v>14.779</v>
      </c>
      <c r="K57" s="13">
        <f t="shared" si="8"/>
        <v>0.863</v>
      </c>
      <c r="L57" s="10">
        <f t="shared" si="9"/>
        <v>0.184</v>
      </c>
      <c r="M57" s="10">
        <f t="shared" si="10"/>
        <v>0.04927552178</v>
      </c>
      <c r="N57" s="14">
        <f t="shared" si="11"/>
        <v>5.71</v>
      </c>
      <c r="O57" s="9">
        <f t="shared" si="12"/>
        <v>539</v>
      </c>
      <c r="P57" s="9">
        <f t="shared" si="13"/>
        <v>10.39</v>
      </c>
    </row>
    <row r="58">
      <c r="A58" s="8">
        <v>57.0</v>
      </c>
      <c r="B58" s="8">
        <v>0.003</v>
      </c>
      <c r="C58" s="8">
        <v>0.193</v>
      </c>
      <c r="D58" s="9">
        <f t="shared" si="1"/>
        <v>61.8</v>
      </c>
      <c r="E58" s="9">
        <f t="shared" si="2"/>
        <v>1.01</v>
      </c>
      <c r="F58" s="10">
        <f t="shared" si="3"/>
        <v>2.003240719</v>
      </c>
      <c r="G58" s="11">
        <f t="shared" si="4"/>
        <v>62.84</v>
      </c>
      <c r="H58" s="10">
        <f t="shared" si="5"/>
        <v>34.379</v>
      </c>
      <c r="I58" s="10">
        <f t="shared" si="6"/>
        <v>9.12</v>
      </c>
      <c r="J58" s="12">
        <f t="shared" si="7"/>
        <v>14.513</v>
      </c>
      <c r="K58" s="13">
        <f t="shared" si="8"/>
        <v>0.865</v>
      </c>
      <c r="L58" s="10">
        <f t="shared" si="9"/>
        <v>0.184</v>
      </c>
      <c r="M58" s="10">
        <f t="shared" si="10"/>
        <v>0.04882177158</v>
      </c>
      <c r="N58" s="14">
        <f t="shared" si="11"/>
        <v>5.64</v>
      </c>
      <c r="O58" s="9">
        <f t="shared" si="12"/>
        <v>539</v>
      </c>
      <c r="P58" s="9">
        <f t="shared" si="13"/>
        <v>10.58</v>
      </c>
    </row>
    <row r="59">
      <c r="A59" s="8">
        <v>58.0</v>
      </c>
      <c r="B59" s="8">
        <v>0.003</v>
      </c>
      <c r="C59" s="8">
        <v>0.214</v>
      </c>
      <c r="D59" s="9">
        <f t="shared" si="1"/>
        <v>61.8</v>
      </c>
      <c r="E59" s="9">
        <f t="shared" si="2"/>
        <v>0.82</v>
      </c>
      <c r="F59" s="10">
        <f t="shared" si="3"/>
        <v>2.002465459</v>
      </c>
      <c r="G59" s="11">
        <f t="shared" si="4"/>
        <v>62.82</v>
      </c>
      <c r="H59" s="10">
        <f t="shared" si="5"/>
        <v>34.076</v>
      </c>
      <c r="I59" s="10">
        <f t="shared" si="6"/>
        <v>8.96</v>
      </c>
      <c r="J59" s="12">
        <f t="shared" si="7"/>
        <v>14.263</v>
      </c>
      <c r="K59" s="13">
        <f t="shared" si="8"/>
        <v>0.865</v>
      </c>
      <c r="L59" s="10">
        <f t="shared" si="9"/>
        <v>0.182</v>
      </c>
      <c r="M59" s="10">
        <f t="shared" si="10"/>
        <v>0.04785446054</v>
      </c>
      <c r="N59" s="14">
        <f t="shared" si="11"/>
        <v>5.53</v>
      </c>
      <c r="O59" s="9">
        <f t="shared" si="12"/>
        <v>539</v>
      </c>
      <c r="P59" s="9">
        <f t="shared" si="13"/>
        <v>10.76</v>
      </c>
    </row>
    <row r="60">
      <c r="A60" s="8">
        <v>59.0</v>
      </c>
      <c r="B60" s="8">
        <v>0.004</v>
      </c>
      <c r="C60" s="8">
        <v>0.235</v>
      </c>
      <c r="D60" s="9">
        <f t="shared" si="1"/>
        <v>71.36</v>
      </c>
      <c r="E60" s="9">
        <f t="shared" si="2"/>
        <v>0.91</v>
      </c>
      <c r="F60" s="10">
        <f t="shared" si="3"/>
        <v>2.001717484</v>
      </c>
      <c r="G60" s="11">
        <f t="shared" si="4"/>
        <v>62.97</v>
      </c>
      <c r="H60" s="10">
        <f t="shared" si="5"/>
        <v>33.799</v>
      </c>
      <c r="I60" s="10">
        <f t="shared" si="6"/>
        <v>8.81</v>
      </c>
      <c r="J60" s="12">
        <f t="shared" si="7"/>
        <v>13.991</v>
      </c>
      <c r="K60" s="13">
        <f t="shared" si="8"/>
        <v>0.865</v>
      </c>
      <c r="L60" s="10">
        <f t="shared" si="9"/>
        <v>0.181</v>
      </c>
      <c r="M60" s="10">
        <f t="shared" si="10"/>
        <v>0.0471688569</v>
      </c>
      <c r="N60" s="14">
        <f t="shared" si="11"/>
        <v>5.45</v>
      </c>
      <c r="O60" s="9">
        <f t="shared" si="12"/>
        <v>539</v>
      </c>
      <c r="P60" s="9">
        <f t="shared" si="13"/>
        <v>10.95</v>
      </c>
    </row>
    <row r="61">
      <c r="A61" s="8">
        <v>60.0</v>
      </c>
      <c r="B61" s="8">
        <v>0.002</v>
      </c>
      <c r="C61" s="8">
        <v>0.155</v>
      </c>
      <c r="D61" s="9">
        <f t="shared" si="1"/>
        <v>50.46</v>
      </c>
      <c r="E61" s="9">
        <f t="shared" si="2"/>
        <v>1.05</v>
      </c>
      <c r="F61" s="10">
        <f t="shared" si="3"/>
        <v>2.000995378</v>
      </c>
      <c r="G61" s="11">
        <f t="shared" si="4"/>
        <v>62.76</v>
      </c>
      <c r="H61" s="10">
        <f t="shared" si="5"/>
        <v>33.551</v>
      </c>
      <c r="I61" s="10">
        <f t="shared" si="6"/>
        <v>8.67</v>
      </c>
      <c r="J61" s="12">
        <f t="shared" si="7"/>
        <v>13.815</v>
      </c>
      <c r="K61" s="13">
        <f t="shared" si="8"/>
        <v>0.869</v>
      </c>
      <c r="L61" s="10">
        <f t="shared" si="9"/>
        <v>0.181</v>
      </c>
      <c r="M61" s="10">
        <f t="shared" si="10"/>
        <v>0.04675725804</v>
      </c>
      <c r="N61" s="14">
        <f t="shared" si="11"/>
        <v>5.38</v>
      </c>
      <c r="O61" s="9">
        <f t="shared" si="12"/>
        <v>539</v>
      </c>
      <c r="P61" s="9">
        <f t="shared" si="13"/>
        <v>11.13</v>
      </c>
    </row>
    <row r="62">
      <c r="A62" s="8">
        <v>61.0</v>
      </c>
      <c r="B62" s="8">
        <v>0.003</v>
      </c>
      <c r="C62" s="8">
        <v>0.219</v>
      </c>
      <c r="D62" s="9">
        <f t="shared" si="1"/>
        <v>61.8</v>
      </c>
      <c r="E62" s="9">
        <f t="shared" si="2"/>
        <v>0.79</v>
      </c>
      <c r="F62" s="10">
        <f t="shared" si="3"/>
        <v>2.000297822</v>
      </c>
      <c r="G62" s="11">
        <f t="shared" si="4"/>
        <v>62.74</v>
      </c>
      <c r="H62" s="10">
        <f t="shared" si="5"/>
        <v>33.27</v>
      </c>
      <c r="I62" s="10">
        <f t="shared" si="6"/>
        <v>8.52</v>
      </c>
      <c r="J62" s="12">
        <f t="shared" si="7"/>
        <v>13.58</v>
      </c>
      <c r="K62" s="13">
        <f t="shared" si="8"/>
        <v>0.867</v>
      </c>
      <c r="L62" s="10">
        <f t="shared" si="9"/>
        <v>0.179</v>
      </c>
      <c r="M62" s="10">
        <f t="shared" si="10"/>
        <v>0.04584402868</v>
      </c>
      <c r="N62" s="14">
        <f t="shared" si="11"/>
        <v>5.29</v>
      </c>
      <c r="O62" s="9">
        <f t="shared" si="12"/>
        <v>539</v>
      </c>
      <c r="P62" s="9">
        <f t="shared" si="13"/>
        <v>11.32</v>
      </c>
    </row>
    <row r="63">
      <c r="A63" s="8">
        <v>62.0</v>
      </c>
      <c r="B63" s="8">
        <v>0.015</v>
      </c>
      <c r="C63" s="8">
        <v>0.546</v>
      </c>
      <c r="D63" s="9">
        <f t="shared" si="1"/>
        <v>138.2</v>
      </c>
      <c r="E63" s="9">
        <f t="shared" si="2"/>
        <v>0.63</v>
      </c>
      <c r="F63" s="10">
        <f t="shared" si="3"/>
        <v>1.999623585</v>
      </c>
      <c r="G63" s="11">
        <f t="shared" si="4"/>
        <v>63.96</v>
      </c>
      <c r="H63" s="10">
        <f t="shared" si="5"/>
        <v>34.36</v>
      </c>
      <c r="I63" s="10">
        <f t="shared" si="6"/>
        <v>8.73</v>
      </c>
      <c r="J63" s="12">
        <f t="shared" si="7"/>
        <v>13.649</v>
      </c>
      <c r="K63" s="13">
        <f t="shared" si="8"/>
        <v>0.863</v>
      </c>
      <c r="L63" s="10">
        <f t="shared" si="9"/>
        <v>0.18</v>
      </c>
      <c r="M63" s="10">
        <f t="shared" si="10"/>
        <v>0.04571144086</v>
      </c>
      <c r="N63" s="14">
        <f t="shared" si="11"/>
        <v>5.3</v>
      </c>
      <c r="O63" s="9">
        <f t="shared" si="12"/>
        <v>539</v>
      </c>
      <c r="P63" s="9">
        <f t="shared" si="13"/>
        <v>11.5</v>
      </c>
    </row>
    <row r="64">
      <c r="A64" s="8">
        <v>63.0</v>
      </c>
      <c r="B64" s="8">
        <v>0.005</v>
      </c>
      <c r="C64" s="8">
        <v>0.307</v>
      </c>
      <c r="D64" s="9">
        <f t="shared" si="1"/>
        <v>79.79</v>
      </c>
      <c r="E64" s="9">
        <f t="shared" si="2"/>
        <v>0.67</v>
      </c>
      <c r="F64" s="10">
        <f t="shared" si="3"/>
        <v>1.998971517</v>
      </c>
      <c r="G64" s="11">
        <f t="shared" si="4"/>
        <v>64.21</v>
      </c>
      <c r="H64" s="10">
        <f t="shared" si="5"/>
        <v>34.14</v>
      </c>
      <c r="I64" s="10">
        <f t="shared" si="6"/>
        <v>8.6</v>
      </c>
      <c r="J64" s="12">
        <f t="shared" si="7"/>
        <v>13.394</v>
      </c>
      <c r="K64" s="13">
        <f t="shared" si="8"/>
        <v>0.86</v>
      </c>
      <c r="L64" s="10">
        <f t="shared" si="9"/>
        <v>0.181</v>
      </c>
      <c r="M64" s="10">
        <f t="shared" si="10"/>
        <v>0.0455842597</v>
      </c>
      <c r="N64" s="14">
        <f t="shared" si="11"/>
        <v>5.3</v>
      </c>
      <c r="O64" s="9">
        <f t="shared" si="12"/>
        <v>539</v>
      </c>
      <c r="P64" s="9">
        <f t="shared" si="13"/>
        <v>11.69</v>
      </c>
    </row>
    <row r="65">
      <c r="A65" s="8">
        <v>64.0</v>
      </c>
      <c r="B65" s="8">
        <v>0.004</v>
      </c>
      <c r="C65" s="8">
        <v>0.281</v>
      </c>
      <c r="D65" s="9">
        <f t="shared" si="1"/>
        <v>71.36</v>
      </c>
      <c r="E65" s="9">
        <f t="shared" si="2"/>
        <v>0.64</v>
      </c>
      <c r="F65" s="10">
        <f t="shared" si="3"/>
        <v>1.998340543</v>
      </c>
      <c r="G65" s="11">
        <f t="shared" si="4"/>
        <v>64.32</v>
      </c>
      <c r="H65" s="10">
        <f t="shared" si="5"/>
        <v>33.88</v>
      </c>
      <c r="I65" s="10">
        <f t="shared" si="6"/>
        <v>8.46</v>
      </c>
      <c r="J65" s="12">
        <f t="shared" si="7"/>
        <v>13.153</v>
      </c>
      <c r="K65" s="13">
        <f t="shared" si="8"/>
        <v>0.857</v>
      </c>
      <c r="L65" s="10">
        <f t="shared" si="9"/>
        <v>0.181</v>
      </c>
      <c r="M65" s="10">
        <f t="shared" si="10"/>
        <v>0.04521245477</v>
      </c>
      <c r="N65" s="14">
        <f t="shared" si="11"/>
        <v>5.28</v>
      </c>
      <c r="O65" s="9">
        <f t="shared" si="12"/>
        <v>539</v>
      </c>
      <c r="P65" s="9">
        <f t="shared" si="13"/>
        <v>11.87</v>
      </c>
    </row>
    <row r="66">
      <c r="A66" s="8">
        <v>65.0</v>
      </c>
      <c r="B66" s="8">
        <v>0.009</v>
      </c>
      <c r="C66" s="8">
        <v>0.432</v>
      </c>
      <c r="D66" s="9">
        <f t="shared" si="1"/>
        <v>107.05</v>
      </c>
      <c r="E66" s="9">
        <f t="shared" si="2"/>
        <v>0.61</v>
      </c>
      <c r="F66" s="10">
        <f t="shared" si="3"/>
        <v>1.997729654</v>
      </c>
      <c r="G66" s="11">
        <f t="shared" si="4"/>
        <v>64.98</v>
      </c>
      <c r="H66" s="10">
        <f t="shared" si="5"/>
        <v>34.029</v>
      </c>
      <c r="I66" s="10">
        <f t="shared" si="6"/>
        <v>8.43</v>
      </c>
      <c r="J66" s="12">
        <f t="shared" si="7"/>
        <v>12.973</v>
      </c>
      <c r="K66" s="13">
        <f t="shared" si="8"/>
        <v>0.853</v>
      </c>
      <c r="L66" s="10">
        <f t="shared" si="9"/>
        <v>0.182</v>
      </c>
      <c r="M66" s="10">
        <f t="shared" si="10"/>
        <v>0.04509739188</v>
      </c>
      <c r="N66" s="14">
        <f t="shared" si="11"/>
        <v>5.29</v>
      </c>
      <c r="O66" s="9">
        <f t="shared" si="12"/>
        <v>539</v>
      </c>
      <c r="P66" s="9">
        <f t="shared" si="13"/>
        <v>12.06</v>
      </c>
    </row>
    <row r="67">
      <c r="A67" s="8">
        <v>66.0</v>
      </c>
      <c r="B67" s="8">
        <v>0.003</v>
      </c>
      <c r="C67" s="8">
        <v>0.188</v>
      </c>
      <c r="D67" s="9">
        <f t="shared" si="1"/>
        <v>61.8</v>
      </c>
      <c r="E67" s="9">
        <f t="shared" si="2"/>
        <v>1.07</v>
      </c>
      <c r="F67" s="10">
        <f t="shared" si="3"/>
        <v>1.997137908</v>
      </c>
      <c r="G67" s="11">
        <f t="shared" si="4"/>
        <v>64.93</v>
      </c>
      <c r="H67" s="10">
        <f t="shared" si="5"/>
        <v>33.769</v>
      </c>
      <c r="I67" s="10">
        <f t="shared" si="6"/>
        <v>8.3</v>
      </c>
      <c r="J67" s="12">
        <f t="shared" si="7"/>
        <v>12.783</v>
      </c>
      <c r="K67" s="13">
        <f t="shared" si="8"/>
        <v>0.856</v>
      </c>
      <c r="L67" s="10">
        <f t="shared" si="9"/>
        <v>0.183</v>
      </c>
      <c r="M67" s="10">
        <f t="shared" si="10"/>
        <v>0.04498701496</v>
      </c>
      <c r="N67" s="14">
        <f t="shared" si="11"/>
        <v>5.26</v>
      </c>
      <c r="O67" s="9">
        <f t="shared" si="12"/>
        <v>539</v>
      </c>
      <c r="P67" s="9">
        <f t="shared" si="13"/>
        <v>12.24</v>
      </c>
    </row>
    <row r="68">
      <c r="A68" s="8">
        <v>67.0</v>
      </c>
      <c r="B68" s="8">
        <v>0.002</v>
      </c>
      <c r="C68" s="8">
        <v>0.157</v>
      </c>
      <c r="D68" s="9">
        <f t="shared" si="1"/>
        <v>50.46</v>
      </c>
      <c r="E68" s="9">
        <f t="shared" si="2"/>
        <v>1.02</v>
      </c>
      <c r="F68" s="10">
        <f t="shared" si="3"/>
        <v>1.996564419</v>
      </c>
      <c r="G68" s="11">
        <f t="shared" si="4"/>
        <v>64.72</v>
      </c>
      <c r="H68" s="10">
        <f t="shared" si="5"/>
        <v>33.558</v>
      </c>
      <c r="I68" s="10">
        <f t="shared" si="6"/>
        <v>8.19</v>
      </c>
      <c r="J68" s="12">
        <f t="shared" si="7"/>
        <v>12.655</v>
      </c>
      <c r="K68" s="13">
        <f t="shared" si="8"/>
        <v>0.859</v>
      </c>
      <c r="L68" s="10">
        <f t="shared" si="9"/>
        <v>0.183</v>
      </c>
      <c r="M68" s="10">
        <f t="shared" si="10"/>
        <v>0.04463720732</v>
      </c>
      <c r="N68" s="14">
        <f t="shared" si="11"/>
        <v>5.2</v>
      </c>
      <c r="O68" s="9">
        <f t="shared" si="12"/>
        <v>539</v>
      </c>
      <c r="P68" s="9">
        <f t="shared" si="13"/>
        <v>12.43</v>
      </c>
    </row>
    <row r="69">
      <c r="A69" s="8">
        <v>68.0</v>
      </c>
      <c r="B69" s="8">
        <v>0.009</v>
      </c>
      <c r="C69" s="8">
        <v>0.511</v>
      </c>
      <c r="D69" s="9">
        <f t="shared" si="1"/>
        <v>107.05</v>
      </c>
      <c r="E69" s="9">
        <f t="shared" si="2"/>
        <v>0.43</v>
      </c>
      <c r="F69" s="10">
        <f t="shared" si="3"/>
        <v>1.996008354</v>
      </c>
      <c r="G69" s="11">
        <f t="shared" si="4"/>
        <v>65.34</v>
      </c>
      <c r="H69" s="10">
        <f t="shared" si="5"/>
        <v>33.7</v>
      </c>
      <c r="I69" s="10">
        <f t="shared" si="6"/>
        <v>8.16</v>
      </c>
      <c r="J69" s="12">
        <f t="shared" si="7"/>
        <v>12.489</v>
      </c>
      <c r="K69" s="13">
        <f t="shared" si="8"/>
        <v>0.853</v>
      </c>
      <c r="L69" s="10">
        <f t="shared" si="9"/>
        <v>0.189</v>
      </c>
      <c r="M69" s="10">
        <f t="shared" si="10"/>
        <v>0.04574774614</v>
      </c>
      <c r="N69" s="14">
        <f t="shared" si="11"/>
        <v>5.36</v>
      </c>
      <c r="O69" s="9">
        <f t="shared" si="12"/>
        <v>539</v>
      </c>
      <c r="P69" s="9">
        <f t="shared" si="13"/>
        <v>12.62</v>
      </c>
    </row>
    <row r="70">
      <c r="A70" s="8">
        <v>69.0</v>
      </c>
      <c r="B70" s="8">
        <v>0.003</v>
      </c>
      <c r="C70" s="8">
        <v>0.196</v>
      </c>
      <c r="D70" s="9">
        <f t="shared" si="1"/>
        <v>61.8</v>
      </c>
      <c r="E70" s="9">
        <f t="shared" si="2"/>
        <v>0.98</v>
      </c>
      <c r="F70" s="10">
        <f t="shared" si="3"/>
        <v>1.995468931</v>
      </c>
      <c r="G70" s="11">
        <f t="shared" si="4"/>
        <v>65.29</v>
      </c>
      <c r="H70" s="10">
        <f t="shared" si="5"/>
        <v>33.454</v>
      </c>
      <c r="I70" s="10">
        <f t="shared" si="6"/>
        <v>8.04</v>
      </c>
      <c r="J70" s="12">
        <f t="shared" si="7"/>
        <v>12.314</v>
      </c>
      <c r="K70" s="13">
        <f t="shared" si="8"/>
        <v>0.854</v>
      </c>
      <c r="L70" s="10">
        <f t="shared" si="9"/>
        <v>0.188</v>
      </c>
      <c r="M70" s="10">
        <f t="shared" si="10"/>
        <v>0.04516253117</v>
      </c>
      <c r="N70" s="14">
        <f t="shared" si="11"/>
        <v>5.29</v>
      </c>
      <c r="O70" s="9">
        <f t="shared" si="12"/>
        <v>539</v>
      </c>
      <c r="P70" s="9">
        <f t="shared" si="13"/>
        <v>12.8</v>
      </c>
    </row>
    <row r="71">
      <c r="A71" s="8">
        <v>70.0</v>
      </c>
      <c r="B71" s="8">
        <v>0.021</v>
      </c>
      <c r="C71" s="8">
        <v>0.63</v>
      </c>
      <c r="D71" s="9">
        <f t="shared" si="1"/>
        <v>163.52</v>
      </c>
      <c r="E71" s="9">
        <f t="shared" si="2"/>
        <v>0.66</v>
      </c>
      <c r="F71" s="10">
        <f t="shared" si="3"/>
        <v>1.994945415</v>
      </c>
      <c r="G71" s="11">
        <f t="shared" si="4"/>
        <v>66.69</v>
      </c>
      <c r="H71" s="10">
        <f t="shared" si="5"/>
        <v>35.225</v>
      </c>
      <c r="I71" s="10">
        <f t="shared" si="6"/>
        <v>8.4</v>
      </c>
      <c r="J71" s="12">
        <f t="shared" si="7"/>
        <v>12.596</v>
      </c>
      <c r="K71" s="13">
        <f t="shared" si="8"/>
        <v>0.852</v>
      </c>
      <c r="L71" s="10">
        <f t="shared" si="9"/>
        <v>0.188</v>
      </c>
      <c r="M71" s="10">
        <f t="shared" si="10"/>
        <v>0.04482701768</v>
      </c>
      <c r="N71" s="14">
        <f t="shared" si="11"/>
        <v>5.26</v>
      </c>
      <c r="O71" s="9">
        <f t="shared" si="12"/>
        <v>539</v>
      </c>
      <c r="P71" s="9">
        <f t="shared" si="13"/>
        <v>12.99</v>
      </c>
    </row>
    <row r="72">
      <c r="A72" s="8">
        <v>71.0</v>
      </c>
      <c r="B72" s="8">
        <v>0.004</v>
      </c>
      <c r="C72" s="8">
        <v>0.235</v>
      </c>
      <c r="D72" s="9">
        <f t="shared" si="1"/>
        <v>71.36</v>
      </c>
      <c r="E72" s="9">
        <f t="shared" si="2"/>
        <v>0.91</v>
      </c>
      <c r="F72" s="10">
        <f t="shared" si="3"/>
        <v>1.994437112</v>
      </c>
      <c r="G72" s="11">
        <f t="shared" si="4"/>
        <v>66.76</v>
      </c>
      <c r="H72" s="10">
        <f t="shared" si="5"/>
        <v>34.977</v>
      </c>
      <c r="I72" s="10">
        <f t="shared" si="6"/>
        <v>8.28</v>
      </c>
      <c r="J72" s="12">
        <f t="shared" si="7"/>
        <v>12.403</v>
      </c>
      <c r="K72" s="13">
        <f t="shared" si="8"/>
        <v>0.852</v>
      </c>
      <c r="L72" s="10">
        <f t="shared" si="9"/>
        <v>0.187</v>
      </c>
      <c r="M72" s="10">
        <f t="shared" si="10"/>
        <v>0.04426217786</v>
      </c>
      <c r="N72" s="14">
        <f t="shared" si="11"/>
        <v>5.2</v>
      </c>
      <c r="O72" s="9">
        <f t="shared" si="12"/>
        <v>539</v>
      </c>
      <c r="P72" s="9">
        <f t="shared" si="13"/>
        <v>13.17</v>
      </c>
    </row>
    <row r="73">
      <c r="A73" s="8">
        <v>72.0</v>
      </c>
      <c r="B73" s="8">
        <v>0.003</v>
      </c>
      <c r="C73" s="8">
        <v>0.203</v>
      </c>
      <c r="D73" s="9">
        <f t="shared" si="1"/>
        <v>61.8</v>
      </c>
      <c r="E73" s="9">
        <f t="shared" si="2"/>
        <v>0.91</v>
      </c>
      <c r="F73" s="10">
        <f t="shared" si="3"/>
        <v>1.993943368</v>
      </c>
      <c r="G73" s="11">
        <f t="shared" si="4"/>
        <v>66.69</v>
      </c>
      <c r="H73" s="10">
        <f t="shared" si="5"/>
        <v>34.735</v>
      </c>
      <c r="I73" s="10">
        <f t="shared" si="6"/>
        <v>8.16</v>
      </c>
      <c r="J73" s="12">
        <f t="shared" si="7"/>
        <v>12.236</v>
      </c>
      <c r="K73" s="13">
        <f t="shared" si="8"/>
        <v>0.853</v>
      </c>
      <c r="L73" s="10">
        <f t="shared" si="9"/>
        <v>0.186</v>
      </c>
      <c r="M73" s="10">
        <f t="shared" si="10"/>
        <v>0.04370785718</v>
      </c>
      <c r="N73" s="14">
        <f t="shared" si="11"/>
        <v>5.12</v>
      </c>
      <c r="O73" s="9">
        <f t="shared" si="12"/>
        <v>539</v>
      </c>
      <c r="P73" s="9">
        <f t="shared" si="13"/>
        <v>13.36</v>
      </c>
    </row>
    <row r="74">
      <c r="A74" s="8">
        <v>73.0</v>
      </c>
      <c r="B74" s="15">
        <v>8.466E-4</v>
      </c>
      <c r="C74" s="8">
        <v>0.104</v>
      </c>
      <c r="D74" s="9">
        <f t="shared" si="1"/>
        <v>32.83</v>
      </c>
      <c r="E74" s="16">
        <f t="shared" si="2"/>
        <v>0.98</v>
      </c>
      <c r="F74" s="10">
        <f t="shared" si="3"/>
        <v>1.993463567</v>
      </c>
      <c r="G74" s="11">
        <f t="shared" si="4"/>
        <v>66.22</v>
      </c>
      <c r="H74" s="10">
        <f t="shared" si="5"/>
        <v>34.72</v>
      </c>
      <c r="I74" s="10">
        <f t="shared" si="6"/>
        <v>8.1</v>
      </c>
      <c r="J74" s="12">
        <f t="shared" si="7"/>
        <v>12.232</v>
      </c>
      <c r="K74" s="13">
        <f t="shared" si="8"/>
        <v>0.855</v>
      </c>
      <c r="L74" s="10">
        <f t="shared" si="9"/>
        <v>0.185</v>
      </c>
      <c r="M74" s="10">
        <f t="shared" si="10"/>
        <v>0.04316369361</v>
      </c>
      <c r="N74" s="14">
        <f t="shared" si="11"/>
        <v>5.05</v>
      </c>
      <c r="O74" s="9">
        <f t="shared" si="12"/>
        <v>539</v>
      </c>
      <c r="P74" s="9">
        <f t="shared" si="13"/>
        <v>13.54</v>
      </c>
    </row>
    <row r="75">
      <c r="A75" s="8">
        <v>74.0</v>
      </c>
      <c r="B75" s="8">
        <v>0.012</v>
      </c>
      <c r="C75" s="8">
        <v>0.471</v>
      </c>
      <c r="D75" s="9">
        <f t="shared" si="1"/>
        <v>123.61</v>
      </c>
      <c r="E75" s="9">
        <f t="shared" si="2"/>
        <v>0.68</v>
      </c>
      <c r="F75" s="10">
        <f t="shared" si="3"/>
        <v>1.992997126</v>
      </c>
      <c r="G75" s="11">
        <f t="shared" si="4"/>
        <v>67</v>
      </c>
      <c r="H75" s="10">
        <f t="shared" si="5"/>
        <v>35.12</v>
      </c>
      <c r="I75" s="10">
        <f t="shared" si="6"/>
        <v>8.14</v>
      </c>
      <c r="J75" s="12">
        <f t="shared" si="7"/>
        <v>12.149</v>
      </c>
      <c r="K75" s="13">
        <f t="shared" si="8"/>
        <v>0.853</v>
      </c>
      <c r="L75" s="10">
        <f t="shared" si="9"/>
        <v>0.185</v>
      </c>
      <c r="M75" s="10">
        <f t="shared" si="10"/>
        <v>0.04286102383</v>
      </c>
      <c r="N75" s="14">
        <f t="shared" si="11"/>
        <v>5.02</v>
      </c>
      <c r="O75" s="9">
        <f t="shared" si="12"/>
        <v>539</v>
      </c>
      <c r="P75" s="9">
        <f t="shared" si="13"/>
        <v>13.73</v>
      </c>
    </row>
    <row r="76">
      <c r="A76" s="8">
        <v>75.0</v>
      </c>
      <c r="B76" s="8">
        <v>0.002</v>
      </c>
      <c r="C76" s="8">
        <v>0.179</v>
      </c>
      <c r="D76" s="9">
        <f t="shared" si="1"/>
        <v>50.46</v>
      </c>
      <c r="E76" s="9">
        <f t="shared" si="2"/>
        <v>0.78</v>
      </c>
      <c r="F76" s="10">
        <f t="shared" si="3"/>
        <v>1.992543495</v>
      </c>
      <c r="G76" s="11">
        <f t="shared" si="4"/>
        <v>66.78</v>
      </c>
      <c r="H76" s="10">
        <f t="shared" si="5"/>
        <v>34.935</v>
      </c>
      <c r="I76" s="10">
        <f t="shared" si="6"/>
        <v>8.04</v>
      </c>
      <c r="J76" s="12">
        <f t="shared" si="7"/>
        <v>12.04</v>
      </c>
      <c r="K76" s="13">
        <f t="shared" si="8"/>
        <v>0.852</v>
      </c>
      <c r="L76" s="10">
        <f t="shared" si="9"/>
        <v>0.184</v>
      </c>
      <c r="M76" s="10">
        <f t="shared" si="10"/>
        <v>0.04233455526</v>
      </c>
      <c r="N76" s="14">
        <f t="shared" si="11"/>
        <v>4.97</v>
      </c>
      <c r="O76" s="9">
        <f t="shared" si="12"/>
        <v>539</v>
      </c>
      <c r="P76" s="9">
        <f t="shared" si="13"/>
        <v>13.91</v>
      </c>
    </row>
    <row r="77">
      <c r="A77" s="8">
        <v>76.0</v>
      </c>
      <c r="B77" s="8">
        <v>0.001</v>
      </c>
      <c r="C77" s="8">
        <v>0.133</v>
      </c>
      <c r="D77" s="9">
        <f t="shared" si="1"/>
        <v>35.68</v>
      </c>
      <c r="E77" s="9">
        <f t="shared" si="2"/>
        <v>0.71</v>
      </c>
      <c r="F77" s="10">
        <f t="shared" si="3"/>
        <v>1.992102154</v>
      </c>
      <c r="G77" s="11">
        <f t="shared" si="4"/>
        <v>66.37</v>
      </c>
      <c r="H77" s="10">
        <f t="shared" si="5"/>
        <v>34.884</v>
      </c>
      <c r="I77" s="10">
        <f t="shared" si="6"/>
        <v>7.97</v>
      </c>
      <c r="J77" s="12">
        <f t="shared" si="7"/>
        <v>12.008</v>
      </c>
      <c r="K77" s="13">
        <f t="shared" si="8"/>
        <v>0.85</v>
      </c>
      <c r="L77" s="10">
        <f t="shared" si="9"/>
        <v>0.183</v>
      </c>
      <c r="M77" s="10">
        <f t="shared" si="10"/>
        <v>0.04181729135</v>
      </c>
      <c r="N77" s="14">
        <f t="shared" si="11"/>
        <v>4.92</v>
      </c>
      <c r="O77" s="9">
        <f t="shared" si="12"/>
        <v>539</v>
      </c>
      <c r="P77" s="9">
        <f t="shared" si="13"/>
        <v>14.1</v>
      </c>
    </row>
    <row r="78">
      <c r="A78" s="8">
        <v>77.0</v>
      </c>
      <c r="B78" s="8">
        <v>0.002</v>
      </c>
      <c r="C78" s="8">
        <v>0.178</v>
      </c>
      <c r="D78" s="9">
        <f t="shared" si="1"/>
        <v>50.46</v>
      </c>
      <c r="E78" s="9">
        <f t="shared" si="2"/>
        <v>0.79</v>
      </c>
      <c r="F78" s="10">
        <f t="shared" si="3"/>
        <v>1.99167261</v>
      </c>
      <c r="G78" s="11">
        <f t="shared" si="4"/>
        <v>66.16</v>
      </c>
      <c r="H78" s="10">
        <f t="shared" si="5"/>
        <v>34.701</v>
      </c>
      <c r="I78" s="10">
        <f t="shared" si="6"/>
        <v>7.88</v>
      </c>
      <c r="J78" s="12">
        <f t="shared" si="7"/>
        <v>11.911</v>
      </c>
      <c r="K78" s="13">
        <f t="shared" si="8"/>
        <v>0.849</v>
      </c>
      <c r="L78" s="10">
        <f t="shared" si="9"/>
        <v>0.182</v>
      </c>
      <c r="M78" s="10">
        <f t="shared" si="10"/>
        <v>0.04130893289</v>
      </c>
      <c r="N78" s="14">
        <f t="shared" si="11"/>
        <v>4.87</v>
      </c>
      <c r="O78" s="9">
        <f t="shared" si="12"/>
        <v>539</v>
      </c>
      <c r="P78" s="9">
        <f t="shared" si="13"/>
        <v>14.29</v>
      </c>
    </row>
    <row r="79">
      <c r="A79" s="8">
        <v>78.0</v>
      </c>
      <c r="B79" s="8">
        <v>0.005</v>
      </c>
      <c r="C79" s="8">
        <v>0.288</v>
      </c>
      <c r="D79" s="9">
        <f t="shared" si="1"/>
        <v>79.79</v>
      </c>
      <c r="E79" s="9">
        <f t="shared" si="2"/>
        <v>0.76</v>
      </c>
      <c r="F79" s="10">
        <f t="shared" si="3"/>
        <v>1.991254395</v>
      </c>
      <c r="G79" s="11">
        <f t="shared" si="4"/>
        <v>66.34</v>
      </c>
      <c r="H79" s="10">
        <f t="shared" si="5"/>
        <v>34.509</v>
      </c>
      <c r="I79" s="10">
        <f t="shared" si="6"/>
        <v>7.78</v>
      </c>
      <c r="J79" s="12">
        <f t="shared" si="7"/>
        <v>11.727</v>
      </c>
      <c r="K79" s="13">
        <f t="shared" si="8"/>
        <v>0.848</v>
      </c>
      <c r="L79" s="10">
        <f t="shared" si="9"/>
        <v>0.181</v>
      </c>
      <c r="M79" s="10">
        <f t="shared" si="10"/>
        <v>0.04080919434</v>
      </c>
      <c r="N79" s="14">
        <f t="shared" si="11"/>
        <v>4.81</v>
      </c>
      <c r="O79" s="9">
        <f t="shared" si="12"/>
        <v>539</v>
      </c>
      <c r="P79" s="9">
        <f t="shared" si="13"/>
        <v>14.47</v>
      </c>
    </row>
    <row r="80">
      <c r="A80" s="8">
        <v>79.0</v>
      </c>
      <c r="B80" s="15">
        <v>8.275E-5</v>
      </c>
      <c r="C80" s="8">
        <v>0.032</v>
      </c>
      <c r="D80" s="9">
        <f t="shared" si="1"/>
        <v>10.26</v>
      </c>
      <c r="E80" s="16">
        <f t="shared" si="2"/>
        <v>1.02</v>
      </c>
      <c r="F80" s="10">
        <f t="shared" si="3"/>
        <v>1.990847069</v>
      </c>
      <c r="G80" s="11">
        <f t="shared" si="4"/>
        <v>65.63</v>
      </c>
      <c r="H80" s="10">
        <f t="shared" si="5"/>
        <v>34.863</v>
      </c>
      <c r="I80" s="10">
        <f t="shared" si="6"/>
        <v>7.81</v>
      </c>
      <c r="J80" s="12">
        <f t="shared" si="7"/>
        <v>11.9</v>
      </c>
      <c r="K80" s="13">
        <f t="shared" si="8"/>
        <v>0.85</v>
      </c>
      <c r="L80" s="10">
        <f t="shared" si="9"/>
        <v>0.181</v>
      </c>
      <c r="M80" s="10">
        <f t="shared" si="10"/>
        <v>0.04054179089</v>
      </c>
      <c r="N80" s="14">
        <f t="shared" si="11"/>
        <v>4.77</v>
      </c>
      <c r="O80" s="9">
        <f t="shared" si="12"/>
        <v>539</v>
      </c>
      <c r="P80" s="9">
        <f t="shared" si="13"/>
        <v>14.66</v>
      </c>
    </row>
    <row r="81">
      <c r="A81" s="8">
        <v>80.0</v>
      </c>
      <c r="B81" s="8">
        <v>0.003</v>
      </c>
      <c r="C81" s="8">
        <v>0.193</v>
      </c>
      <c r="D81" s="9">
        <f t="shared" si="1"/>
        <v>61.8</v>
      </c>
      <c r="E81" s="9">
        <f t="shared" si="2"/>
        <v>1.01</v>
      </c>
      <c r="F81" s="10">
        <f t="shared" si="3"/>
        <v>1.99045021</v>
      </c>
      <c r="G81" s="11">
        <f t="shared" si="4"/>
        <v>65.58</v>
      </c>
      <c r="H81" s="10">
        <f t="shared" si="5"/>
        <v>34.644</v>
      </c>
      <c r="I81" s="10">
        <f t="shared" si="6"/>
        <v>7.71</v>
      </c>
      <c r="J81" s="12">
        <f t="shared" si="7"/>
        <v>11.757</v>
      </c>
      <c r="K81" s="13">
        <f t="shared" si="8"/>
        <v>0.852</v>
      </c>
      <c r="L81" s="10">
        <f t="shared" si="9"/>
        <v>0.181</v>
      </c>
      <c r="M81" s="10">
        <f t="shared" si="10"/>
        <v>0.04027957688</v>
      </c>
      <c r="N81" s="14">
        <f t="shared" si="11"/>
        <v>4.73</v>
      </c>
      <c r="O81" s="9">
        <f t="shared" si="12"/>
        <v>539</v>
      </c>
      <c r="P81" s="9">
        <f t="shared" si="13"/>
        <v>14.84</v>
      </c>
    </row>
    <row r="82">
      <c r="A82" s="8">
        <v>81.0</v>
      </c>
      <c r="B82" s="8">
        <v>0.001</v>
      </c>
      <c r="C82" s="8">
        <v>0.127</v>
      </c>
      <c r="D82" s="9">
        <f t="shared" si="1"/>
        <v>35.68</v>
      </c>
      <c r="E82" s="9">
        <f t="shared" si="2"/>
        <v>0.78</v>
      </c>
      <c r="F82" s="10">
        <f t="shared" si="3"/>
        <v>1.990063421</v>
      </c>
      <c r="G82" s="11">
        <f t="shared" si="4"/>
        <v>65.21</v>
      </c>
      <c r="H82" s="10">
        <f t="shared" si="5"/>
        <v>34.587</v>
      </c>
      <c r="I82" s="10">
        <f t="shared" si="6"/>
        <v>7.65</v>
      </c>
      <c r="J82" s="12">
        <f t="shared" si="7"/>
        <v>11.731</v>
      </c>
      <c r="K82" s="13">
        <f t="shared" si="8"/>
        <v>0.851</v>
      </c>
      <c r="L82" s="10">
        <f t="shared" si="9"/>
        <v>0.18</v>
      </c>
      <c r="M82" s="10">
        <f t="shared" si="10"/>
        <v>0.03980126843</v>
      </c>
      <c r="N82" s="14">
        <f t="shared" si="11"/>
        <v>4.68</v>
      </c>
      <c r="O82" s="9">
        <f t="shared" si="12"/>
        <v>539</v>
      </c>
      <c r="P82" s="9">
        <f t="shared" si="13"/>
        <v>15.03</v>
      </c>
    </row>
    <row r="83">
      <c r="A83" s="8">
        <v>82.0</v>
      </c>
      <c r="B83" s="8">
        <v>0.003</v>
      </c>
      <c r="C83" s="8">
        <v>0.201</v>
      </c>
      <c r="D83" s="9">
        <f t="shared" si="1"/>
        <v>61.8</v>
      </c>
      <c r="E83" s="9">
        <f t="shared" si="2"/>
        <v>0.93</v>
      </c>
      <c r="F83" s="10">
        <f t="shared" si="3"/>
        <v>1.989686323</v>
      </c>
      <c r="G83" s="11">
        <f t="shared" si="4"/>
        <v>65.17</v>
      </c>
      <c r="H83" s="10">
        <f t="shared" si="5"/>
        <v>34.375</v>
      </c>
      <c r="I83" s="10">
        <f t="shared" si="6"/>
        <v>7.55</v>
      </c>
      <c r="J83" s="12">
        <f t="shared" si="7"/>
        <v>11.585</v>
      </c>
      <c r="K83" s="13">
        <f t="shared" si="8"/>
        <v>0.852</v>
      </c>
      <c r="L83" s="10">
        <f t="shared" si="9"/>
        <v>0.179</v>
      </c>
      <c r="M83" s="10">
        <f t="shared" si="10"/>
        <v>0.03933061338</v>
      </c>
      <c r="N83" s="14">
        <f t="shared" si="11"/>
        <v>4.62</v>
      </c>
      <c r="O83" s="9">
        <f t="shared" si="12"/>
        <v>539</v>
      </c>
      <c r="P83" s="9">
        <f t="shared" si="13"/>
        <v>15.21</v>
      </c>
    </row>
    <row r="84">
      <c r="A84" s="8">
        <v>83.0</v>
      </c>
      <c r="B84" s="8">
        <v>0.003</v>
      </c>
      <c r="C84" s="8">
        <v>0.188</v>
      </c>
      <c r="D84" s="9">
        <f t="shared" si="1"/>
        <v>61.8</v>
      </c>
      <c r="E84" s="9">
        <f t="shared" si="2"/>
        <v>1.07</v>
      </c>
      <c r="F84" s="10">
        <f t="shared" si="3"/>
        <v>1.989318557</v>
      </c>
      <c r="G84" s="11">
        <f t="shared" si="4"/>
        <v>65.13</v>
      </c>
      <c r="H84" s="10">
        <f t="shared" si="5"/>
        <v>34.167</v>
      </c>
      <c r="I84" s="10">
        <f t="shared" si="6"/>
        <v>7.46</v>
      </c>
      <c r="J84" s="12">
        <f t="shared" si="7"/>
        <v>11.454</v>
      </c>
      <c r="K84" s="13">
        <f t="shared" si="8"/>
        <v>0.855</v>
      </c>
      <c r="L84" s="10">
        <f t="shared" si="9"/>
        <v>0.179</v>
      </c>
      <c r="M84" s="10">
        <f t="shared" si="10"/>
        <v>0.0390857382</v>
      </c>
      <c r="N84" s="14">
        <f t="shared" si="11"/>
        <v>4.57</v>
      </c>
      <c r="O84" s="9">
        <f t="shared" si="12"/>
        <v>539</v>
      </c>
      <c r="P84" s="9">
        <f t="shared" si="13"/>
        <v>15.4</v>
      </c>
    </row>
    <row r="85">
      <c r="A85" s="8">
        <v>84.0</v>
      </c>
      <c r="B85" s="8">
        <v>0.002</v>
      </c>
      <c r="C85" s="8">
        <v>0.174</v>
      </c>
      <c r="D85" s="9">
        <f t="shared" si="1"/>
        <v>50.46</v>
      </c>
      <c r="E85" s="9">
        <f t="shared" si="2"/>
        <v>0.83</v>
      </c>
      <c r="F85" s="10">
        <f t="shared" si="3"/>
        <v>1.98895978</v>
      </c>
      <c r="G85" s="11">
        <f t="shared" si="4"/>
        <v>64.95</v>
      </c>
      <c r="H85" s="10">
        <f t="shared" si="5"/>
        <v>33.998</v>
      </c>
      <c r="I85" s="10">
        <f t="shared" si="6"/>
        <v>7.38</v>
      </c>
      <c r="J85" s="12">
        <f t="shared" si="7"/>
        <v>11.363</v>
      </c>
      <c r="K85" s="13">
        <f t="shared" si="8"/>
        <v>0.854</v>
      </c>
      <c r="L85" s="10">
        <f t="shared" si="9"/>
        <v>0.178</v>
      </c>
      <c r="M85" s="10">
        <f t="shared" si="10"/>
        <v>0.03862836802</v>
      </c>
      <c r="N85" s="14">
        <f t="shared" si="11"/>
        <v>4.52</v>
      </c>
      <c r="O85" s="9">
        <f t="shared" si="12"/>
        <v>539</v>
      </c>
      <c r="P85" s="9">
        <f t="shared" si="13"/>
        <v>15.58</v>
      </c>
    </row>
    <row r="86">
      <c r="A86" s="8">
        <v>85.0</v>
      </c>
      <c r="B86" s="8">
        <v>0.001</v>
      </c>
      <c r="C86" s="8">
        <v>0.122</v>
      </c>
      <c r="D86" s="9">
        <f t="shared" si="1"/>
        <v>35.68</v>
      </c>
      <c r="E86" s="9">
        <f t="shared" si="2"/>
        <v>0.84</v>
      </c>
      <c r="F86" s="10">
        <f t="shared" si="3"/>
        <v>1.988609667</v>
      </c>
      <c r="G86" s="11">
        <f t="shared" si="4"/>
        <v>64.61</v>
      </c>
      <c r="H86" s="10">
        <f t="shared" si="5"/>
        <v>33.944</v>
      </c>
      <c r="I86" s="10">
        <f t="shared" si="6"/>
        <v>7.32</v>
      </c>
      <c r="J86" s="12">
        <f t="shared" si="7"/>
        <v>11.33</v>
      </c>
      <c r="K86" s="13">
        <f t="shared" si="8"/>
        <v>0.854</v>
      </c>
      <c r="L86" s="10">
        <f t="shared" si="9"/>
        <v>0.177</v>
      </c>
      <c r="M86" s="10">
        <f t="shared" si="10"/>
        <v>0.03817801548</v>
      </c>
      <c r="N86" s="14">
        <f t="shared" si="11"/>
        <v>4.47</v>
      </c>
      <c r="O86" s="9">
        <f t="shared" si="12"/>
        <v>539</v>
      </c>
      <c r="P86" s="9">
        <f t="shared" si="13"/>
        <v>15.77</v>
      </c>
    </row>
    <row r="87">
      <c r="A87" s="8">
        <v>86.0</v>
      </c>
      <c r="B87" s="8">
        <v>0.001</v>
      </c>
      <c r="C87" s="8">
        <v>0.135</v>
      </c>
      <c r="D87" s="9">
        <f t="shared" si="1"/>
        <v>35.68</v>
      </c>
      <c r="E87" s="9">
        <f t="shared" si="2"/>
        <v>0.69</v>
      </c>
      <c r="F87" s="10">
        <f t="shared" si="3"/>
        <v>1.988267907</v>
      </c>
      <c r="G87" s="11">
        <f t="shared" si="4"/>
        <v>64.27</v>
      </c>
      <c r="H87" s="10">
        <f t="shared" si="5"/>
        <v>33.888</v>
      </c>
      <c r="I87" s="10">
        <f t="shared" si="6"/>
        <v>7.27</v>
      </c>
      <c r="J87" s="12">
        <f t="shared" si="7"/>
        <v>11.312</v>
      </c>
      <c r="K87" s="13">
        <f t="shared" si="8"/>
        <v>0.852</v>
      </c>
      <c r="L87" s="10">
        <f t="shared" si="9"/>
        <v>0.177</v>
      </c>
      <c r="M87" s="10">
        <f t="shared" si="10"/>
        <v>0.03794887829</v>
      </c>
      <c r="N87" s="14">
        <f t="shared" si="11"/>
        <v>4.45</v>
      </c>
      <c r="O87" s="9">
        <f t="shared" si="12"/>
        <v>539</v>
      </c>
      <c r="P87" s="9">
        <f t="shared" si="13"/>
        <v>15.96</v>
      </c>
    </row>
    <row r="88">
      <c r="A88" s="8">
        <v>87.0</v>
      </c>
      <c r="B88" s="8">
        <v>0.002</v>
      </c>
      <c r="C88" s="8">
        <v>0.201</v>
      </c>
      <c r="D88" s="9">
        <f t="shared" si="1"/>
        <v>50.46</v>
      </c>
      <c r="E88" s="9">
        <f t="shared" si="2"/>
        <v>0.62</v>
      </c>
      <c r="F88" s="10">
        <f t="shared" si="3"/>
        <v>1.987934206</v>
      </c>
      <c r="G88" s="11">
        <f t="shared" si="4"/>
        <v>64.11</v>
      </c>
      <c r="H88" s="10">
        <f t="shared" si="5"/>
        <v>33.722</v>
      </c>
      <c r="I88" s="10">
        <f t="shared" si="6"/>
        <v>7.19</v>
      </c>
      <c r="J88" s="12">
        <f t="shared" si="7"/>
        <v>11.215</v>
      </c>
      <c r="K88" s="13">
        <f t="shared" si="8"/>
        <v>0.85</v>
      </c>
      <c r="L88" s="10">
        <f t="shared" si="9"/>
        <v>0.178</v>
      </c>
      <c r="M88" s="10">
        <f t="shared" si="10"/>
        <v>0.03793694742</v>
      </c>
      <c r="N88" s="14">
        <f t="shared" si="11"/>
        <v>4.46</v>
      </c>
      <c r="O88" s="9">
        <f t="shared" si="12"/>
        <v>539</v>
      </c>
      <c r="P88" s="9">
        <f t="shared" si="13"/>
        <v>16.14</v>
      </c>
    </row>
    <row r="89">
      <c r="A89" s="8">
        <v>88.0</v>
      </c>
      <c r="B89" s="8">
        <v>0.001</v>
      </c>
      <c r="C89" s="8">
        <v>0.14</v>
      </c>
      <c r="D89" s="9">
        <f t="shared" si="1"/>
        <v>35.68</v>
      </c>
      <c r="E89" s="9">
        <f t="shared" si="2"/>
        <v>0.64</v>
      </c>
      <c r="F89" s="10">
        <f t="shared" si="3"/>
        <v>1.987608282</v>
      </c>
      <c r="G89" s="11">
        <f t="shared" si="4"/>
        <v>63.79</v>
      </c>
      <c r="H89" s="10">
        <f t="shared" si="5"/>
        <v>33.665</v>
      </c>
      <c r="I89" s="10">
        <f t="shared" si="6"/>
        <v>7.13</v>
      </c>
      <c r="J89" s="12">
        <f t="shared" si="7"/>
        <v>11.177</v>
      </c>
      <c r="K89" s="13">
        <f t="shared" si="8"/>
        <v>0.847</v>
      </c>
      <c r="L89" s="10">
        <f t="shared" si="9"/>
        <v>0.178</v>
      </c>
      <c r="M89" s="10">
        <f t="shared" si="10"/>
        <v>0.03771459634</v>
      </c>
      <c r="N89" s="14">
        <f t="shared" si="11"/>
        <v>4.45</v>
      </c>
      <c r="O89" s="9">
        <f t="shared" si="12"/>
        <v>539</v>
      </c>
      <c r="P89" s="9">
        <f t="shared" si="13"/>
        <v>16.33</v>
      </c>
    </row>
    <row r="90">
      <c r="A90" s="8">
        <v>89.0</v>
      </c>
      <c r="B90" s="15">
        <v>4.456E-5</v>
      </c>
      <c r="C90" s="8">
        <v>0.023</v>
      </c>
      <c r="D90" s="9">
        <f t="shared" si="1"/>
        <v>7.53</v>
      </c>
      <c r="E90" s="16">
        <f t="shared" si="2"/>
        <v>1.06</v>
      </c>
      <c r="F90" s="10">
        <f t="shared" si="3"/>
        <v>1.987289865</v>
      </c>
      <c r="G90" s="11">
        <f t="shared" si="4"/>
        <v>63.16</v>
      </c>
      <c r="H90" s="10">
        <f t="shared" si="5"/>
        <v>34</v>
      </c>
      <c r="I90" s="10">
        <f t="shared" si="6"/>
        <v>7.16</v>
      </c>
      <c r="J90" s="12">
        <f t="shared" si="7"/>
        <v>11.336</v>
      </c>
      <c r="K90" s="13">
        <f t="shared" si="8"/>
        <v>0.85</v>
      </c>
      <c r="L90" s="10">
        <f t="shared" si="9"/>
        <v>0.179</v>
      </c>
      <c r="M90" s="10">
        <f t="shared" si="10"/>
        <v>0.03770676248</v>
      </c>
      <c r="N90" s="14">
        <f t="shared" si="11"/>
        <v>4.44</v>
      </c>
      <c r="O90" s="9">
        <f t="shared" si="12"/>
        <v>539</v>
      </c>
      <c r="P90" s="9">
        <f t="shared" si="13"/>
        <v>16.51</v>
      </c>
    </row>
    <row r="91">
      <c r="A91" s="8">
        <v>90.0</v>
      </c>
      <c r="B91" s="8">
        <v>0.002</v>
      </c>
      <c r="C91" s="8">
        <v>0.143</v>
      </c>
      <c r="D91" s="9">
        <f t="shared" si="1"/>
        <v>50.46</v>
      </c>
      <c r="E91" s="9">
        <f t="shared" si="2"/>
        <v>1.23</v>
      </c>
      <c r="F91" s="10">
        <f t="shared" si="3"/>
        <v>1.9869787</v>
      </c>
      <c r="G91" s="11">
        <f t="shared" si="4"/>
        <v>63.02</v>
      </c>
      <c r="H91" s="10">
        <f t="shared" si="5"/>
        <v>33.835</v>
      </c>
      <c r="I91" s="10">
        <f t="shared" si="6"/>
        <v>7.09</v>
      </c>
      <c r="J91" s="12">
        <f t="shared" si="7"/>
        <v>11.25</v>
      </c>
      <c r="K91" s="13">
        <f t="shared" si="8"/>
        <v>0.854</v>
      </c>
      <c r="L91" s="10">
        <f t="shared" si="9"/>
        <v>0.182</v>
      </c>
      <c r="M91" s="10">
        <f t="shared" si="10"/>
        <v>0.03811916201</v>
      </c>
      <c r="N91" s="14">
        <f t="shared" si="11"/>
        <v>4.46</v>
      </c>
      <c r="O91" s="9">
        <f t="shared" si="12"/>
        <v>539</v>
      </c>
      <c r="P91" s="9">
        <f t="shared" si="13"/>
        <v>16.7</v>
      </c>
    </row>
    <row r="92">
      <c r="A92" s="8">
        <v>91.0</v>
      </c>
      <c r="B92" s="15">
        <v>5.538E-4</v>
      </c>
      <c r="C92" s="8">
        <v>0.088</v>
      </c>
      <c r="D92" s="9">
        <f t="shared" si="1"/>
        <v>26.55</v>
      </c>
      <c r="E92" s="16">
        <f t="shared" si="2"/>
        <v>0.9</v>
      </c>
      <c r="F92" s="10">
        <f t="shared" si="3"/>
        <v>1.986674541</v>
      </c>
      <c r="G92" s="11">
        <f t="shared" si="4"/>
        <v>62.62</v>
      </c>
      <c r="H92" s="10">
        <f t="shared" si="5"/>
        <v>33.863</v>
      </c>
      <c r="I92" s="10">
        <f t="shared" si="6"/>
        <v>7.05</v>
      </c>
      <c r="J92" s="12">
        <f t="shared" si="7"/>
        <v>11.258</v>
      </c>
      <c r="K92" s="13">
        <f t="shared" si="8"/>
        <v>0.854</v>
      </c>
      <c r="L92" s="10">
        <f t="shared" si="9"/>
        <v>0.181</v>
      </c>
      <c r="M92" s="10">
        <f t="shared" si="10"/>
        <v>0.03769507442</v>
      </c>
      <c r="N92" s="14">
        <f t="shared" si="11"/>
        <v>4.41</v>
      </c>
      <c r="O92" s="9">
        <f t="shared" si="12"/>
        <v>539</v>
      </c>
      <c r="P92" s="9">
        <f t="shared" si="13"/>
        <v>16.88</v>
      </c>
    </row>
    <row r="93">
      <c r="A93" s="8">
        <v>92.0</v>
      </c>
      <c r="B93" s="8">
        <v>0.02</v>
      </c>
      <c r="C93" s="8">
        <v>0.606</v>
      </c>
      <c r="D93" s="9">
        <f t="shared" si="1"/>
        <v>159.58</v>
      </c>
      <c r="E93" s="9">
        <f t="shared" si="2"/>
        <v>0.68</v>
      </c>
      <c r="F93" s="10">
        <f t="shared" si="3"/>
        <v>1.986377154</v>
      </c>
      <c r="G93" s="11">
        <f t="shared" si="4"/>
        <v>63.67</v>
      </c>
      <c r="H93" s="10">
        <f t="shared" si="5"/>
        <v>35.161</v>
      </c>
      <c r="I93" s="10">
        <f t="shared" si="6"/>
        <v>7.28</v>
      </c>
      <c r="J93" s="12">
        <f t="shared" si="7"/>
        <v>11.434</v>
      </c>
      <c r="K93" s="13">
        <f t="shared" si="8"/>
        <v>0.853</v>
      </c>
      <c r="L93" s="10">
        <f t="shared" si="9"/>
        <v>0.181</v>
      </c>
      <c r="M93" s="10">
        <f t="shared" si="10"/>
        <v>0.03748403829</v>
      </c>
      <c r="N93" s="14">
        <f t="shared" si="11"/>
        <v>4.39</v>
      </c>
      <c r="O93" s="9">
        <f t="shared" si="12"/>
        <v>539</v>
      </c>
      <c r="P93" s="9">
        <f t="shared" si="13"/>
        <v>17.07</v>
      </c>
    </row>
    <row r="94">
      <c r="A94" s="8">
        <v>93.0</v>
      </c>
      <c r="B94" s="15">
        <v>1.337E-4</v>
      </c>
      <c r="C94" s="8">
        <v>0.039</v>
      </c>
      <c r="D94" s="9">
        <f t="shared" si="1"/>
        <v>13.05</v>
      </c>
      <c r="E94" s="16">
        <f t="shared" si="2"/>
        <v>1.1</v>
      </c>
      <c r="F94" s="10">
        <f t="shared" si="3"/>
        <v>1.986086317</v>
      </c>
      <c r="G94" s="11">
        <f t="shared" si="4"/>
        <v>63.13</v>
      </c>
      <c r="H94" s="10">
        <f t="shared" si="5"/>
        <v>35.361</v>
      </c>
      <c r="I94" s="10">
        <f t="shared" si="6"/>
        <v>7.28</v>
      </c>
      <c r="J94" s="12">
        <f t="shared" si="7"/>
        <v>11.532</v>
      </c>
      <c r="K94" s="13">
        <f t="shared" si="8"/>
        <v>0.855</v>
      </c>
      <c r="L94" s="10">
        <f t="shared" si="9"/>
        <v>0.182</v>
      </c>
      <c r="M94" s="10">
        <f t="shared" si="10"/>
        <v>0.03748245541</v>
      </c>
      <c r="N94" s="14">
        <f t="shared" si="11"/>
        <v>4.38</v>
      </c>
      <c r="O94" s="9">
        <f t="shared" si="12"/>
        <v>539</v>
      </c>
      <c r="P94" s="9">
        <f t="shared" si="13"/>
        <v>17.25</v>
      </c>
    </row>
    <row r="95">
      <c r="A95" s="8">
        <v>94.0</v>
      </c>
      <c r="B95" s="8">
        <v>0.004</v>
      </c>
      <c r="C95" s="8">
        <v>0.241</v>
      </c>
      <c r="D95" s="9">
        <f t="shared" si="1"/>
        <v>71.36</v>
      </c>
      <c r="E95" s="9">
        <f t="shared" si="2"/>
        <v>0.87</v>
      </c>
      <c r="F95" s="10">
        <f t="shared" si="3"/>
        <v>1.985801814</v>
      </c>
      <c r="G95" s="11">
        <f t="shared" si="4"/>
        <v>63.21</v>
      </c>
      <c r="H95" s="10">
        <f t="shared" si="5"/>
        <v>35.181</v>
      </c>
      <c r="I95" s="10">
        <f t="shared" si="6"/>
        <v>7.21</v>
      </c>
      <c r="J95" s="12">
        <f t="shared" si="7"/>
        <v>11.406</v>
      </c>
      <c r="K95" s="13">
        <f t="shared" si="8"/>
        <v>0.855</v>
      </c>
      <c r="L95" s="10">
        <f t="shared" si="9"/>
        <v>0.181</v>
      </c>
      <c r="M95" s="10">
        <f t="shared" si="10"/>
        <v>0.0370723871</v>
      </c>
      <c r="N95" s="14">
        <f t="shared" si="11"/>
        <v>4.34</v>
      </c>
      <c r="O95" s="9">
        <f t="shared" si="12"/>
        <v>539</v>
      </c>
      <c r="P95" s="9">
        <f t="shared" si="13"/>
        <v>17.44</v>
      </c>
    </row>
    <row r="96">
      <c r="A96" s="8">
        <v>95.0</v>
      </c>
      <c r="B96" s="8">
        <v>0.04</v>
      </c>
      <c r="C96" s="8">
        <v>0.835</v>
      </c>
      <c r="D96" s="9">
        <f t="shared" si="1"/>
        <v>225.68</v>
      </c>
      <c r="E96" s="9">
        <f t="shared" si="2"/>
        <v>0.72</v>
      </c>
      <c r="F96" s="10">
        <f t="shared" si="3"/>
        <v>1.985523442</v>
      </c>
      <c r="G96" s="11">
        <f t="shared" si="4"/>
        <v>64.92</v>
      </c>
      <c r="H96" s="10">
        <f t="shared" si="5"/>
        <v>38.76</v>
      </c>
      <c r="I96" s="10">
        <f t="shared" si="6"/>
        <v>7.9</v>
      </c>
      <c r="J96" s="12">
        <f t="shared" si="7"/>
        <v>12.169</v>
      </c>
      <c r="K96" s="13">
        <f t="shared" si="8"/>
        <v>0.854</v>
      </c>
      <c r="L96" s="10">
        <f t="shared" si="9"/>
        <v>0.18</v>
      </c>
      <c r="M96" s="10">
        <f t="shared" si="10"/>
        <v>0.03666787324</v>
      </c>
      <c r="N96" s="14">
        <f t="shared" si="11"/>
        <v>4.29</v>
      </c>
      <c r="O96" s="9">
        <f t="shared" si="12"/>
        <v>539</v>
      </c>
      <c r="P96" s="9">
        <f t="shared" si="13"/>
        <v>17.63</v>
      </c>
    </row>
    <row r="97">
      <c r="A97" s="8">
        <v>96.0</v>
      </c>
      <c r="B97" s="8">
        <v>0.004</v>
      </c>
      <c r="C97" s="8">
        <v>0.234</v>
      </c>
      <c r="D97" s="9">
        <f t="shared" si="1"/>
        <v>71.36</v>
      </c>
      <c r="E97" s="9">
        <f t="shared" si="2"/>
        <v>0.92</v>
      </c>
      <c r="F97" s="10">
        <f t="shared" si="3"/>
        <v>1.985251004</v>
      </c>
      <c r="G97" s="11">
        <f t="shared" si="4"/>
        <v>64.99</v>
      </c>
      <c r="H97" s="10">
        <f t="shared" si="5"/>
        <v>38.561</v>
      </c>
      <c r="I97" s="10">
        <f t="shared" si="6"/>
        <v>7.81</v>
      </c>
      <c r="J97" s="12">
        <f t="shared" si="7"/>
        <v>12.017</v>
      </c>
      <c r="K97" s="13">
        <f t="shared" si="8"/>
        <v>0.855</v>
      </c>
      <c r="L97" s="10">
        <f t="shared" si="9"/>
        <v>0.18</v>
      </c>
      <c r="M97" s="10">
        <f t="shared" si="10"/>
        <v>0.03647138977</v>
      </c>
      <c r="N97" s="14">
        <f t="shared" si="11"/>
        <v>4.27</v>
      </c>
      <c r="O97" s="9">
        <f t="shared" si="12"/>
        <v>539</v>
      </c>
      <c r="P97" s="9">
        <f t="shared" si="13"/>
        <v>17.81</v>
      </c>
    </row>
    <row r="98">
      <c r="A98" s="8">
        <v>97.0</v>
      </c>
      <c r="B98" s="8">
        <v>0.001</v>
      </c>
      <c r="C98" s="8">
        <v>0.127</v>
      </c>
      <c r="D98" s="9">
        <f t="shared" si="1"/>
        <v>35.68</v>
      </c>
      <c r="E98" s="9">
        <f t="shared" si="2"/>
        <v>0.78</v>
      </c>
      <c r="F98" s="10">
        <f t="shared" si="3"/>
        <v>1.984984312</v>
      </c>
      <c r="G98" s="11">
        <f t="shared" si="4"/>
        <v>64.69</v>
      </c>
      <c r="H98" s="10">
        <f t="shared" si="5"/>
        <v>38.475</v>
      </c>
      <c r="I98" s="10">
        <f t="shared" si="6"/>
        <v>7.75</v>
      </c>
      <c r="J98" s="12">
        <f t="shared" si="7"/>
        <v>11.98</v>
      </c>
      <c r="K98" s="13">
        <f t="shared" si="8"/>
        <v>0.854</v>
      </c>
      <c r="L98" s="10">
        <f t="shared" si="9"/>
        <v>0.179</v>
      </c>
      <c r="M98" s="10">
        <f t="shared" si="10"/>
        <v>0.03607648713</v>
      </c>
      <c r="N98" s="14">
        <f t="shared" si="11"/>
        <v>4.22</v>
      </c>
      <c r="O98" s="9">
        <f t="shared" si="12"/>
        <v>539</v>
      </c>
      <c r="P98" s="9">
        <f t="shared" si="13"/>
        <v>18</v>
      </c>
    </row>
    <row r="99">
      <c r="A99" s="8">
        <v>98.0</v>
      </c>
      <c r="B99" s="15">
        <v>0.002</v>
      </c>
      <c r="C99" s="8">
        <v>0.174</v>
      </c>
      <c r="D99" s="9">
        <f t="shared" si="1"/>
        <v>50.46</v>
      </c>
      <c r="E99" s="16">
        <f t="shared" si="2"/>
        <v>0.83</v>
      </c>
      <c r="F99" s="10">
        <f t="shared" si="3"/>
        <v>1.984723186</v>
      </c>
      <c r="G99" s="11">
        <f t="shared" si="4"/>
        <v>64.54</v>
      </c>
      <c r="H99" s="10">
        <f t="shared" si="5"/>
        <v>38.303</v>
      </c>
      <c r="I99" s="10">
        <f t="shared" si="6"/>
        <v>7.68</v>
      </c>
      <c r="J99" s="12">
        <f t="shared" si="7"/>
        <v>11.9</v>
      </c>
      <c r="K99" s="13">
        <f t="shared" si="8"/>
        <v>0.854</v>
      </c>
      <c r="L99" s="10">
        <f t="shared" si="9"/>
        <v>0.178</v>
      </c>
      <c r="M99" s="10">
        <f t="shared" si="10"/>
        <v>0.03568674254</v>
      </c>
      <c r="N99" s="14">
        <f t="shared" si="11"/>
        <v>4.18</v>
      </c>
      <c r="O99" s="9">
        <f t="shared" si="12"/>
        <v>539</v>
      </c>
      <c r="P99" s="9">
        <f t="shared" si="13"/>
        <v>18.18</v>
      </c>
    </row>
    <row r="100">
      <c r="A100" s="8">
        <v>99.0</v>
      </c>
      <c r="B100" s="8">
        <v>0.002</v>
      </c>
      <c r="C100" s="8">
        <v>0.158</v>
      </c>
      <c r="D100" s="9">
        <f t="shared" si="1"/>
        <v>50.46</v>
      </c>
      <c r="E100" s="9">
        <f t="shared" si="2"/>
        <v>1.01</v>
      </c>
      <c r="F100" s="10">
        <f t="shared" si="3"/>
        <v>1.984467455</v>
      </c>
      <c r="G100" s="11">
        <f t="shared" si="4"/>
        <v>64.4</v>
      </c>
      <c r="H100" s="10">
        <f t="shared" si="5"/>
        <v>38.134</v>
      </c>
      <c r="I100" s="10">
        <f t="shared" si="6"/>
        <v>7.61</v>
      </c>
      <c r="J100" s="12">
        <f t="shared" si="7"/>
        <v>11.817</v>
      </c>
      <c r="K100" s="13">
        <f t="shared" si="8"/>
        <v>0.855</v>
      </c>
      <c r="L100" s="10">
        <f t="shared" si="9"/>
        <v>0.178</v>
      </c>
      <c r="M100" s="10">
        <f t="shared" si="10"/>
        <v>0.03550147406</v>
      </c>
      <c r="N100" s="14">
        <f t="shared" si="11"/>
        <v>4.15</v>
      </c>
      <c r="O100" s="9">
        <f t="shared" si="12"/>
        <v>539</v>
      </c>
      <c r="P100" s="9">
        <f t="shared" si="13"/>
        <v>18.37</v>
      </c>
    </row>
    <row r="101">
      <c r="A101" s="8">
        <v>100.0</v>
      </c>
      <c r="B101" s="15">
        <v>5.793E-4</v>
      </c>
      <c r="C101" s="8">
        <v>0.087</v>
      </c>
      <c r="D101" s="9">
        <f t="shared" si="1"/>
        <v>27.16</v>
      </c>
      <c r="E101" s="16">
        <f t="shared" si="2"/>
        <v>0.96</v>
      </c>
      <c r="F101" s="10">
        <f t="shared" si="3"/>
        <v>1.984216952</v>
      </c>
      <c r="G101" s="11">
        <f t="shared" si="4"/>
        <v>64.03</v>
      </c>
      <c r="H101" s="10">
        <f t="shared" si="5"/>
        <v>38.123</v>
      </c>
      <c r="I101" s="10">
        <f t="shared" si="6"/>
        <v>7.56</v>
      </c>
      <c r="J101" s="12">
        <f t="shared" si="7"/>
        <v>11.807</v>
      </c>
      <c r="K101" s="13">
        <f t="shared" si="8"/>
        <v>0.856</v>
      </c>
      <c r="L101" s="10">
        <f t="shared" si="9"/>
        <v>0.177</v>
      </c>
      <c r="M101" s="10">
        <f t="shared" si="10"/>
        <v>0.03512064004</v>
      </c>
      <c r="N101" s="14">
        <f t="shared" si="11"/>
        <v>4.1</v>
      </c>
      <c r="O101" s="9">
        <f t="shared" si="12"/>
        <v>539</v>
      </c>
      <c r="P101" s="9">
        <f t="shared" si="13"/>
        <v>18.55</v>
      </c>
    </row>
    <row r="102">
      <c r="A102" s="8">
        <v>101.0</v>
      </c>
      <c r="B102" s="15">
        <v>7.384E-4</v>
      </c>
      <c r="C102" s="8">
        <v>0.099</v>
      </c>
      <c r="D102" s="9">
        <f t="shared" si="1"/>
        <v>30.66</v>
      </c>
      <c r="E102" s="16">
        <f t="shared" si="2"/>
        <v>0.95</v>
      </c>
      <c r="F102" s="10">
        <f t="shared" si="3"/>
        <v>1.983971519</v>
      </c>
      <c r="G102" s="11">
        <f t="shared" si="4"/>
        <v>63.7</v>
      </c>
      <c r="H102" s="10">
        <f t="shared" si="5"/>
        <v>38.077</v>
      </c>
      <c r="I102" s="10">
        <f t="shared" si="6"/>
        <v>7.52</v>
      </c>
      <c r="J102" s="12">
        <f t="shared" si="7"/>
        <v>11.805</v>
      </c>
      <c r="K102" s="13">
        <f t="shared" si="8"/>
        <v>0.857</v>
      </c>
      <c r="L102" s="10">
        <f t="shared" si="9"/>
        <v>0.177</v>
      </c>
      <c r="M102" s="10">
        <f t="shared" si="10"/>
        <v>0.03494202038</v>
      </c>
      <c r="N102" s="14">
        <f t="shared" si="11"/>
        <v>4.08</v>
      </c>
      <c r="O102" s="9">
        <f t="shared" si="12"/>
        <v>539</v>
      </c>
      <c r="P102" s="9">
        <f t="shared" si="13"/>
        <v>18.74</v>
      </c>
    </row>
    <row r="103">
      <c r="A103" s="8">
        <v>102.0</v>
      </c>
      <c r="B103" s="8">
        <v>0.004</v>
      </c>
      <c r="C103" s="8">
        <v>0.236</v>
      </c>
      <c r="D103" s="9">
        <f t="shared" si="1"/>
        <v>71.36</v>
      </c>
      <c r="E103" s="9">
        <f t="shared" si="2"/>
        <v>0.9</v>
      </c>
      <c r="F103" s="10">
        <f t="shared" si="3"/>
        <v>1.983731003</v>
      </c>
      <c r="G103" s="11">
        <f t="shared" si="4"/>
        <v>63.77</v>
      </c>
      <c r="H103" s="10">
        <f t="shared" si="5"/>
        <v>37.896</v>
      </c>
      <c r="I103" s="10">
        <f t="shared" si="6"/>
        <v>7.44</v>
      </c>
      <c r="J103" s="12">
        <f t="shared" si="7"/>
        <v>11.667</v>
      </c>
      <c r="K103" s="13">
        <f t="shared" si="8"/>
        <v>0.858</v>
      </c>
      <c r="L103" s="10">
        <f t="shared" si="9"/>
        <v>0.176</v>
      </c>
      <c r="M103" s="10">
        <f t="shared" si="10"/>
        <v>0.03456968026</v>
      </c>
      <c r="N103" s="14">
        <f t="shared" si="11"/>
        <v>4.03</v>
      </c>
      <c r="O103" s="9">
        <f t="shared" si="12"/>
        <v>539</v>
      </c>
      <c r="P103" s="9">
        <f t="shared" si="13"/>
        <v>18.92</v>
      </c>
    </row>
    <row r="104">
      <c r="A104" s="8">
        <v>103.0</v>
      </c>
      <c r="B104" s="8">
        <v>0.002</v>
      </c>
      <c r="C104" s="8">
        <v>0.162</v>
      </c>
      <c r="D104" s="9">
        <f t="shared" si="1"/>
        <v>50.46</v>
      </c>
      <c r="E104" s="9">
        <f t="shared" si="2"/>
        <v>0.96</v>
      </c>
      <c r="F104" s="10">
        <f t="shared" si="3"/>
        <v>1.983495259</v>
      </c>
      <c r="G104" s="11">
        <f t="shared" si="4"/>
        <v>63.65</v>
      </c>
      <c r="H104" s="10">
        <f t="shared" si="5"/>
        <v>37.732</v>
      </c>
      <c r="I104" s="10">
        <f t="shared" si="6"/>
        <v>7.37</v>
      </c>
      <c r="J104" s="12">
        <f t="shared" si="7"/>
        <v>11.579</v>
      </c>
      <c r="K104" s="13">
        <f t="shared" si="8"/>
        <v>0.859</v>
      </c>
      <c r="L104" s="10">
        <f t="shared" si="9"/>
        <v>0.175</v>
      </c>
      <c r="M104" s="10">
        <f t="shared" si="10"/>
        <v>0.03420192915</v>
      </c>
      <c r="N104" s="14">
        <f t="shared" si="11"/>
        <v>3.98</v>
      </c>
      <c r="O104" s="9">
        <f t="shared" si="12"/>
        <v>539</v>
      </c>
      <c r="P104" s="9">
        <f t="shared" si="13"/>
        <v>19.11</v>
      </c>
    </row>
    <row r="105">
      <c r="A105" s="8">
        <v>104.0</v>
      </c>
      <c r="B105" s="8">
        <v>0.002</v>
      </c>
      <c r="C105" s="8">
        <v>0.168</v>
      </c>
      <c r="D105" s="9">
        <f t="shared" si="1"/>
        <v>50.46</v>
      </c>
      <c r="E105" s="9">
        <f t="shared" si="2"/>
        <v>0.89</v>
      </c>
      <c r="F105" s="10">
        <f t="shared" si="3"/>
        <v>1.983264145</v>
      </c>
      <c r="G105" s="11">
        <f t="shared" si="4"/>
        <v>63.52</v>
      </c>
      <c r="H105" s="10">
        <f t="shared" si="5"/>
        <v>37.571</v>
      </c>
      <c r="I105" s="10">
        <f t="shared" si="6"/>
        <v>7.31</v>
      </c>
      <c r="J105" s="12">
        <f t="shared" si="7"/>
        <v>11.508</v>
      </c>
      <c r="K105" s="13">
        <f t="shared" si="8"/>
        <v>0.859</v>
      </c>
      <c r="L105" s="10">
        <f t="shared" si="9"/>
        <v>0.174</v>
      </c>
      <c r="M105" s="10">
        <f t="shared" si="10"/>
        <v>0.03383865862</v>
      </c>
      <c r="N105" s="14">
        <f t="shared" si="11"/>
        <v>3.94</v>
      </c>
      <c r="O105" s="9">
        <f t="shared" si="12"/>
        <v>539</v>
      </c>
      <c r="P105" s="9">
        <f t="shared" si="13"/>
        <v>19.29</v>
      </c>
    </row>
    <row r="106">
      <c r="A106" s="8">
        <v>105.0</v>
      </c>
      <c r="B106" s="15">
        <v>2.992E-4</v>
      </c>
      <c r="C106" s="8">
        <v>0.061</v>
      </c>
      <c r="D106" s="9">
        <f t="shared" si="1"/>
        <v>19.52</v>
      </c>
      <c r="E106" s="16">
        <f t="shared" si="2"/>
        <v>1.01</v>
      </c>
      <c r="F106" s="10">
        <f t="shared" si="3"/>
        <v>1.983037526</v>
      </c>
      <c r="G106" s="11">
        <f t="shared" si="4"/>
        <v>63.1</v>
      </c>
      <c r="H106" s="10">
        <f t="shared" si="5"/>
        <v>37.636</v>
      </c>
      <c r="I106" s="10">
        <f t="shared" si="6"/>
        <v>7.28</v>
      </c>
      <c r="J106" s="12">
        <f t="shared" si="7"/>
        <v>11.537</v>
      </c>
      <c r="K106" s="13">
        <f t="shared" si="8"/>
        <v>0.86</v>
      </c>
      <c r="L106" s="10">
        <f t="shared" si="9"/>
        <v>0.174</v>
      </c>
      <c r="M106" s="10">
        <f t="shared" si="10"/>
        <v>0.03367328852</v>
      </c>
      <c r="N106" s="14">
        <f t="shared" si="11"/>
        <v>3.92</v>
      </c>
      <c r="O106" s="9">
        <f t="shared" si="12"/>
        <v>539</v>
      </c>
      <c r="P106" s="9">
        <f t="shared" si="13"/>
        <v>19.48</v>
      </c>
    </row>
    <row r="107">
      <c r="A107" s="8">
        <v>106.0</v>
      </c>
      <c r="B107" s="8">
        <v>0.022</v>
      </c>
      <c r="C107" s="8">
        <v>0.973</v>
      </c>
      <c r="D107" s="9">
        <f t="shared" si="1"/>
        <v>167.37</v>
      </c>
      <c r="E107" s="9">
        <f t="shared" si="2"/>
        <v>0.29</v>
      </c>
      <c r="F107" s="10">
        <f t="shared" si="3"/>
        <v>1.982815274</v>
      </c>
      <c r="G107" s="11">
        <f t="shared" si="4"/>
        <v>64.08</v>
      </c>
      <c r="H107" s="10">
        <f t="shared" si="5"/>
        <v>38.801</v>
      </c>
      <c r="I107" s="10">
        <f t="shared" si="6"/>
        <v>7.47</v>
      </c>
      <c r="J107" s="12">
        <f t="shared" si="7"/>
        <v>11.657</v>
      </c>
      <c r="K107" s="13">
        <f t="shared" si="8"/>
        <v>0.855</v>
      </c>
      <c r="L107" s="10">
        <f t="shared" si="9"/>
        <v>0.182</v>
      </c>
      <c r="M107" s="10">
        <f t="shared" si="10"/>
        <v>0.03505102406</v>
      </c>
      <c r="N107" s="14">
        <f t="shared" si="11"/>
        <v>4.1</v>
      </c>
      <c r="O107" s="9">
        <f t="shared" si="12"/>
        <v>539</v>
      </c>
      <c r="P107" s="9">
        <f t="shared" si="13"/>
        <v>19.67</v>
      </c>
    </row>
    <row r="108">
      <c r="A108" s="8">
        <v>107.0</v>
      </c>
      <c r="B108" s="8">
        <v>0.016</v>
      </c>
      <c r="C108" s="8">
        <v>0.531</v>
      </c>
      <c r="D108" s="9">
        <f t="shared" si="1"/>
        <v>142.73</v>
      </c>
      <c r="E108" s="9">
        <f t="shared" si="2"/>
        <v>0.71</v>
      </c>
      <c r="F108" s="10">
        <f t="shared" si="3"/>
        <v>1.982597262</v>
      </c>
      <c r="G108" s="11">
        <f t="shared" si="4"/>
        <v>64.82</v>
      </c>
      <c r="H108" s="10">
        <f t="shared" si="5"/>
        <v>39.359</v>
      </c>
      <c r="I108" s="10">
        <f t="shared" si="6"/>
        <v>7.54</v>
      </c>
      <c r="J108" s="12">
        <f t="shared" si="7"/>
        <v>11.632</v>
      </c>
      <c r="K108" s="13">
        <f t="shared" si="8"/>
        <v>0.854</v>
      </c>
      <c r="L108" s="10">
        <f t="shared" si="9"/>
        <v>0.182</v>
      </c>
      <c r="M108" s="10">
        <f t="shared" si="10"/>
        <v>0.03488301391</v>
      </c>
      <c r="N108" s="14">
        <f t="shared" si="11"/>
        <v>4.08</v>
      </c>
      <c r="O108" s="9">
        <f t="shared" si="12"/>
        <v>539</v>
      </c>
      <c r="P108" s="9">
        <f t="shared" si="13"/>
        <v>19.85</v>
      </c>
    </row>
    <row r="109">
      <c r="A109" s="8">
        <v>108.0</v>
      </c>
      <c r="B109" s="8">
        <v>0.075</v>
      </c>
      <c r="C109" s="8">
        <v>1.315</v>
      </c>
      <c r="D109" s="9">
        <f t="shared" si="1"/>
        <v>309.02</v>
      </c>
      <c r="E109" s="9">
        <f t="shared" si="2"/>
        <v>0.55</v>
      </c>
      <c r="F109" s="10">
        <f t="shared" si="3"/>
        <v>1.98238337</v>
      </c>
      <c r="G109" s="11">
        <f t="shared" si="4"/>
        <v>67.08</v>
      </c>
      <c r="H109" s="10">
        <f t="shared" si="5"/>
        <v>45.682</v>
      </c>
      <c r="I109" s="10">
        <f t="shared" si="6"/>
        <v>8.71</v>
      </c>
      <c r="J109" s="12">
        <f t="shared" si="7"/>
        <v>12.984</v>
      </c>
      <c r="K109" s="13">
        <f t="shared" si="8"/>
        <v>0.851</v>
      </c>
      <c r="L109" s="10">
        <f t="shared" si="9"/>
        <v>0.183</v>
      </c>
      <c r="M109" s="10">
        <f t="shared" si="10"/>
        <v>0.03490815196</v>
      </c>
      <c r="N109" s="14">
        <f t="shared" si="11"/>
        <v>4.1</v>
      </c>
      <c r="O109" s="9">
        <f t="shared" si="12"/>
        <v>539</v>
      </c>
      <c r="P109" s="9">
        <f t="shared" si="13"/>
        <v>20.04</v>
      </c>
    </row>
    <row r="110">
      <c r="A110" s="8">
        <v>109.0</v>
      </c>
      <c r="B110" s="15">
        <v>7.384E-4</v>
      </c>
      <c r="C110" s="8">
        <v>0.098</v>
      </c>
      <c r="D110" s="9">
        <f t="shared" si="1"/>
        <v>30.66</v>
      </c>
      <c r="E110" s="16">
        <f t="shared" si="2"/>
        <v>0.97</v>
      </c>
      <c r="F110" s="10">
        <f t="shared" si="3"/>
        <v>1.982173483</v>
      </c>
      <c r="G110" s="11">
        <f t="shared" si="4"/>
        <v>66.75</v>
      </c>
      <c r="H110" s="10">
        <f t="shared" si="5"/>
        <v>45.603</v>
      </c>
      <c r="I110" s="10">
        <f t="shared" si="6"/>
        <v>8.66</v>
      </c>
      <c r="J110" s="12">
        <f t="shared" si="7"/>
        <v>12.974</v>
      </c>
      <c r="K110" s="13">
        <f t="shared" si="8"/>
        <v>0.852</v>
      </c>
      <c r="L110" s="10">
        <f t="shared" si="9"/>
        <v>0.183</v>
      </c>
      <c r="M110" s="10">
        <f t="shared" si="10"/>
        <v>0.03474397491</v>
      </c>
      <c r="N110" s="14">
        <f t="shared" si="11"/>
        <v>4.08</v>
      </c>
      <c r="O110" s="9">
        <f t="shared" si="12"/>
        <v>539</v>
      </c>
      <c r="P110" s="9">
        <f t="shared" si="13"/>
        <v>20.22</v>
      </c>
    </row>
    <row r="111">
      <c r="A111" s="8">
        <v>110.0</v>
      </c>
      <c r="B111" s="15">
        <v>4.838E-4</v>
      </c>
      <c r="C111" s="8">
        <v>0.079</v>
      </c>
      <c r="D111" s="9">
        <f t="shared" si="1"/>
        <v>24.82</v>
      </c>
      <c r="E111" s="16">
        <f t="shared" si="2"/>
        <v>0.97</v>
      </c>
      <c r="F111" s="10">
        <f t="shared" si="3"/>
        <v>1.98196749</v>
      </c>
      <c r="G111" s="11">
        <f t="shared" si="4"/>
        <v>66.36</v>
      </c>
      <c r="H111" s="10">
        <f t="shared" si="5"/>
        <v>45.569</v>
      </c>
      <c r="I111" s="10">
        <f t="shared" si="6"/>
        <v>8.61</v>
      </c>
      <c r="J111" s="12">
        <f t="shared" si="7"/>
        <v>12.975</v>
      </c>
      <c r="K111" s="13">
        <f t="shared" si="8"/>
        <v>0.853</v>
      </c>
      <c r="L111" s="10">
        <f t="shared" si="9"/>
        <v>0.182</v>
      </c>
      <c r="M111" s="10">
        <f t="shared" si="10"/>
        <v>0.03439311975</v>
      </c>
      <c r="N111" s="14">
        <f t="shared" si="11"/>
        <v>4.03</v>
      </c>
      <c r="O111" s="9">
        <f t="shared" si="12"/>
        <v>539</v>
      </c>
      <c r="P111" s="9">
        <f t="shared" si="13"/>
        <v>20.41</v>
      </c>
    </row>
    <row r="112">
      <c r="A112" s="8">
        <v>111.0</v>
      </c>
      <c r="B112" s="15">
        <v>0.002</v>
      </c>
      <c r="C112" s="8">
        <v>0.167</v>
      </c>
      <c r="D112" s="9">
        <f t="shared" si="1"/>
        <v>50.46</v>
      </c>
      <c r="E112" s="16">
        <f t="shared" si="2"/>
        <v>0.9</v>
      </c>
      <c r="F112" s="10">
        <f t="shared" si="3"/>
        <v>1.981765282</v>
      </c>
      <c r="G112" s="11">
        <f t="shared" si="4"/>
        <v>66.22</v>
      </c>
      <c r="H112" s="10">
        <f t="shared" si="5"/>
        <v>45.387</v>
      </c>
      <c r="I112" s="10">
        <f t="shared" si="6"/>
        <v>8.54</v>
      </c>
      <c r="J112" s="12">
        <f t="shared" si="7"/>
        <v>12.896</v>
      </c>
      <c r="K112" s="13">
        <f t="shared" si="8"/>
        <v>0.853</v>
      </c>
      <c r="L112" s="10">
        <f t="shared" si="9"/>
        <v>0.181</v>
      </c>
      <c r="M112" s="10">
        <f t="shared" si="10"/>
        <v>0.03404625137</v>
      </c>
      <c r="N112" s="14">
        <f t="shared" si="11"/>
        <v>3.99</v>
      </c>
      <c r="O112" s="9">
        <f t="shared" si="12"/>
        <v>539</v>
      </c>
      <c r="P112" s="9">
        <f t="shared" si="13"/>
        <v>20.59</v>
      </c>
    </row>
    <row r="113">
      <c r="A113" s="8">
        <v>112.0</v>
      </c>
      <c r="B113" s="8">
        <v>0.002</v>
      </c>
      <c r="C113" s="8">
        <v>0.153</v>
      </c>
      <c r="D113" s="9">
        <f t="shared" si="1"/>
        <v>50.46</v>
      </c>
      <c r="E113" s="9">
        <f t="shared" si="2"/>
        <v>1.07</v>
      </c>
      <c r="F113" s="10">
        <f t="shared" si="3"/>
        <v>1.981566757</v>
      </c>
      <c r="G113" s="11">
        <f t="shared" si="4"/>
        <v>66.08</v>
      </c>
      <c r="H113" s="10">
        <f t="shared" si="5"/>
        <v>45.206</v>
      </c>
      <c r="I113" s="10">
        <f t="shared" si="6"/>
        <v>8.46</v>
      </c>
      <c r="J113" s="12">
        <f t="shared" si="7"/>
        <v>12.803</v>
      </c>
      <c r="K113" s="13">
        <f t="shared" si="8"/>
        <v>0.855</v>
      </c>
      <c r="L113" s="10">
        <f t="shared" si="9"/>
        <v>0.182</v>
      </c>
      <c r="M113" s="10">
        <f t="shared" si="10"/>
        <v>0.0340777635</v>
      </c>
      <c r="N113" s="14">
        <f t="shared" si="11"/>
        <v>3.99</v>
      </c>
      <c r="O113" s="9">
        <f t="shared" si="12"/>
        <v>539</v>
      </c>
      <c r="P113" s="9">
        <f t="shared" si="13"/>
        <v>20.78</v>
      </c>
    </row>
    <row r="114">
      <c r="A114" s="8">
        <v>113.0</v>
      </c>
      <c r="B114" s="15">
        <v>1.655E-4</v>
      </c>
      <c r="C114" s="8">
        <v>0.045</v>
      </c>
      <c r="D114" s="9">
        <f t="shared" si="1"/>
        <v>14.52</v>
      </c>
      <c r="E114" s="16">
        <f t="shared" si="2"/>
        <v>1.03</v>
      </c>
      <c r="F114" s="10">
        <f t="shared" si="3"/>
        <v>1.981371815</v>
      </c>
      <c r="G114" s="11">
        <f t="shared" si="4"/>
        <v>65.62</v>
      </c>
      <c r="H114" s="10">
        <f t="shared" si="5"/>
        <v>45.265</v>
      </c>
      <c r="I114" s="10">
        <f t="shared" si="6"/>
        <v>8.44</v>
      </c>
      <c r="J114" s="12">
        <f t="shared" si="7"/>
        <v>12.862</v>
      </c>
      <c r="K114" s="13">
        <f t="shared" si="8"/>
        <v>0.857</v>
      </c>
      <c r="L114" s="10">
        <f t="shared" si="9"/>
        <v>0.182</v>
      </c>
      <c r="M114" s="10">
        <f t="shared" si="10"/>
        <v>0.03392330422</v>
      </c>
      <c r="N114" s="14">
        <f t="shared" si="11"/>
        <v>3.96</v>
      </c>
      <c r="O114" s="9">
        <f t="shared" si="12"/>
        <v>539</v>
      </c>
      <c r="P114" s="9">
        <f t="shared" si="13"/>
        <v>20.96</v>
      </c>
    </row>
    <row r="115">
      <c r="A115" s="8">
        <v>114.0</v>
      </c>
      <c r="B115" s="15">
        <v>8.275E-5</v>
      </c>
      <c r="C115" s="8">
        <v>0.03</v>
      </c>
      <c r="D115" s="9">
        <f t="shared" si="1"/>
        <v>10.26</v>
      </c>
      <c r="E115" s="16">
        <f t="shared" si="2"/>
        <v>1.16</v>
      </c>
      <c r="F115" s="10">
        <f t="shared" si="3"/>
        <v>1.981180359</v>
      </c>
      <c r="G115" s="11">
        <f t="shared" si="4"/>
        <v>65.14</v>
      </c>
      <c r="H115" s="10">
        <f t="shared" si="5"/>
        <v>45.361</v>
      </c>
      <c r="I115" s="10">
        <f t="shared" si="6"/>
        <v>8.42</v>
      </c>
      <c r="J115" s="12">
        <f t="shared" si="7"/>
        <v>12.926</v>
      </c>
      <c r="K115" s="13">
        <f t="shared" si="8"/>
        <v>0.859</v>
      </c>
      <c r="L115" s="10">
        <f t="shared" si="9"/>
        <v>0.183</v>
      </c>
      <c r="M115" s="10">
        <f t="shared" si="10"/>
        <v>0.03395648109</v>
      </c>
      <c r="N115" s="14">
        <f t="shared" si="11"/>
        <v>3.95</v>
      </c>
      <c r="O115" s="9">
        <f t="shared" si="12"/>
        <v>539</v>
      </c>
      <c r="P115" s="9">
        <f t="shared" si="13"/>
        <v>21.15</v>
      </c>
    </row>
    <row r="116">
      <c r="A116" s="8">
        <v>115.0</v>
      </c>
      <c r="B116" s="8">
        <v>0.003</v>
      </c>
      <c r="C116" s="8">
        <v>0.188</v>
      </c>
      <c r="D116" s="9">
        <f t="shared" si="1"/>
        <v>61.8</v>
      </c>
      <c r="E116" s="9">
        <f t="shared" si="2"/>
        <v>1.07</v>
      </c>
      <c r="F116" s="10">
        <f t="shared" si="3"/>
        <v>1.980992298</v>
      </c>
      <c r="G116" s="11">
        <f t="shared" si="4"/>
        <v>65.11</v>
      </c>
      <c r="H116" s="10">
        <f t="shared" si="5"/>
        <v>45.163</v>
      </c>
      <c r="I116" s="10">
        <f t="shared" si="6"/>
        <v>8.34</v>
      </c>
      <c r="J116" s="12">
        <f t="shared" si="7"/>
        <v>12.809</v>
      </c>
      <c r="K116" s="13">
        <f t="shared" si="8"/>
        <v>0.861</v>
      </c>
      <c r="L116" s="10">
        <f t="shared" si="9"/>
        <v>0.183</v>
      </c>
      <c r="M116" s="10">
        <f t="shared" si="10"/>
        <v>0.03380531263</v>
      </c>
      <c r="N116" s="14">
        <f t="shared" si="11"/>
        <v>3.93</v>
      </c>
      <c r="O116" s="9">
        <f t="shared" si="12"/>
        <v>539</v>
      </c>
      <c r="P116" s="9">
        <f t="shared" si="13"/>
        <v>21.34</v>
      </c>
    </row>
    <row r="117">
      <c r="A117" s="8">
        <v>116.0</v>
      </c>
      <c r="B117" s="15">
        <v>0.002</v>
      </c>
      <c r="C117" s="8">
        <v>0.183</v>
      </c>
      <c r="D117" s="9">
        <f t="shared" si="1"/>
        <v>50.46</v>
      </c>
      <c r="E117" s="16">
        <f t="shared" si="2"/>
        <v>0.75</v>
      </c>
      <c r="F117" s="10">
        <f t="shared" si="3"/>
        <v>1.980807541</v>
      </c>
      <c r="G117" s="11">
        <f t="shared" si="4"/>
        <v>64.98</v>
      </c>
      <c r="H117" s="10">
        <f t="shared" si="5"/>
        <v>44.987</v>
      </c>
      <c r="I117" s="10">
        <f t="shared" si="6"/>
        <v>8.27</v>
      </c>
      <c r="J117" s="12">
        <f t="shared" si="7"/>
        <v>12.727</v>
      </c>
      <c r="K117" s="13">
        <f t="shared" si="8"/>
        <v>0.86</v>
      </c>
      <c r="L117" s="10">
        <f t="shared" si="9"/>
        <v>0.183</v>
      </c>
      <c r="M117" s="10">
        <f t="shared" si="10"/>
        <v>0.03365614545</v>
      </c>
      <c r="N117" s="14">
        <f t="shared" si="11"/>
        <v>3.91</v>
      </c>
      <c r="O117" s="9">
        <f t="shared" si="12"/>
        <v>539</v>
      </c>
      <c r="P117" s="9">
        <f t="shared" si="13"/>
        <v>21.52</v>
      </c>
    </row>
    <row r="118">
      <c r="A118" s="8">
        <v>117.0</v>
      </c>
      <c r="B118" s="15">
        <v>5.729E-5</v>
      </c>
      <c r="C118" s="8">
        <v>0.024</v>
      </c>
      <c r="D118" s="9">
        <f t="shared" si="1"/>
        <v>8.54</v>
      </c>
      <c r="E118" s="16">
        <f t="shared" si="2"/>
        <v>1.25</v>
      </c>
      <c r="F118" s="10">
        <f t="shared" si="3"/>
        <v>1.980626002</v>
      </c>
      <c r="G118" s="11">
        <f t="shared" si="4"/>
        <v>64.5</v>
      </c>
      <c r="H118" s="10">
        <f t="shared" si="5"/>
        <v>45.095</v>
      </c>
      <c r="I118" s="10">
        <f t="shared" si="6"/>
        <v>8.26</v>
      </c>
      <c r="J118" s="12">
        <f t="shared" si="7"/>
        <v>12.806</v>
      </c>
      <c r="K118" s="13">
        <f t="shared" si="8"/>
        <v>0.864</v>
      </c>
      <c r="L118" s="10">
        <f t="shared" si="9"/>
        <v>0.185</v>
      </c>
      <c r="M118" s="10">
        <f t="shared" si="10"/>
        <v>0.03387515366</v>
      </c>
      <c r="N118" s="14">
        <f t="shared" si="11"/>
        <v>3.92</v>
      </c>
      <c r="O118" s="9">
        <f t="shared" si="12"/>
        <v>539</v>
      </c>
      <c r="P118" s="9">
        <f t="shared" si="13"/>
        <v>21.71</v>
      </c>
    </row>
    <row r="119">
      <c r="A119" s="8">
        <v>118.0</v>
      </c>
      <c r="B119" s="15">
        <v>3.055E-4</v>
      </c>
      <c r="C119" s="8">
        <v>0.062</v>
      </c>
      <c r="D119" s="9">
        <f t="shared" si="1"/>
        <v>19.72</v>
      </c>
      <c r="E119" s="16">
        <f t="shared" si="2"/>
        <v>1</v>
      </c>
      <c r="F119" s="10">
        <f t="shared" si="3"/>
        <v>1.980447599</v>
      </c>
      <c r="G119" s="11">
        <f t="shared" si="4"/>
        <v>64.12</v>
      </c>
      <c r="H119" s="10">
        <f t="shared" si="5"/>
        <v>45.091</v>
      </c>
      <c r="I119" s="10">
        <f t="shared" si="6"/>
        <v>8.22</v>
      </c>
      <c r="J119" s="12">
        <f t="shared" si="7"/>
        <v>12.82</v>
      </c>
      <c r="K119" s="13">
        <f t="shared" si="8"/>
        <v>0.865</v>
      </c>
      <c r="L119" s="10">
        <f t="shared" si="9"/>
        <v>0.185</v>
      </c>
      <c r="M119" s="10">
        <f t="shared" si="10"/>
        <v>0.03372827114</v>
      </c>
      <c r="N119" s="14">
        <f t="shared" si="11"/>
        <v>3.9</v>
      </c>
      <c r="O119" s="9">
        <f t="shared" si="12"/>
        <v>539</v>
      </c>
      <c r="P119" s="9">
        <f t="shared" si="13"/>
        <v>21.89</v>
      </c>
    </row>
    <row r="120">
      <c r="A120" s="8">
        <v>119.0</v>
      </c>
      <c r="B120" s="15">
        <v>6.811E-4</v>
      </c>
      <c r="C120" s="8">
        <v>0.092</v>
      </c>
      <c r="D120" s="9">
        <f t="shared" si="1"/>
        <v>29.45</v>
      </c>
      <c r="E120" s="16">
        <f t="shared" si="2"/>
        <v>1.01</v>
      </c>
      <c r="F120" s="10">
        <f t="shared" si="3"/>
        <v>1.980272249</v>
      </c>
      <c r="G120" s="11">
        <f t="shared" si="4"/>
        <v>63.83</v>
      </c>
      <c r="H120" s="10">
        <f t="shared" si="5"/>
        <v>45.012</v>
      </c>
      <c r="I120" s="10">
        <f t="shared" si="6"/>
        <v>8.17</v>
      </c>
      <c r="J120" s="12">
        <f t="shared" si="7"/>
        <v>12.8</v>
      </c>
      <c r="K120" s="13">
        <f t="shared" si="8"/>
        <v>0.866</v>
      </c>
      <c r="L120" s="10">
        <f t="shared" si="9"/>
        <v>0.185</v>
      </c>
      <c r="M120" s="10">
        <f t="shared" si="10"/>
        <v>0.033583283</v>
      </c>
      <c r="N120" s="14">
        <f t="shared" si="11"/>
        <v>3.88</v>
      </c>
      <c r="O120" s="9">
        <f t="shared" si="12"/>
        <v>539</v>
      </c>
      <c r="P120" s="9">
        <f t="shared" si="13"/>
        <v>22.08</v>
      </c>
    </row>
    <row r="121">
      <c r="A121" s="8">
        <v>120.0</v>
      </c>
      <c r="B121" s="8">
        <v>0.002</v>
      </c>
      <c r="C121" s="8">
        <v>0.186</v>
      </c>
      <c r="D121" s="9">
        <f t="shared" si="1"/>
        <v>50.46</v>
      </c>
      <c r="E121" s="9">
        <f t="shared" si="2"/>
        <v>0.73</v>
      </c>
      <c r="F121" s="10">
        <f t="shared" si="3"/>
        <v>1.980099876</v>
      </c>
      <c r="G121" s="11">
        <f t="shared" si="4"/>
        <v>63.72</v>
      </c>
      <c r="H121" s="10">
        <f t="shared" si="5"/>
        <v>44.839</v>
      </c>
      <c r="I121" s="10">
        <f t="shared" si="6"/>
        <v>8.1</v>
      </c>
      <c r="J121" s="12">
        <f t="shared" si="7"/>
        <v>12.712</v>
      </c>
      <c r="K121" s="13">
        <f t="shared" si="8"/>
        <v>0.865</v>
      </c>
      <c r="L121" s="10">
        <f t="shared" si="9"/>
        <v>0.184</v>
      </c>
      <c r="M121" s="10">
        <f t="shared" si="10"/>
        <v>0.0332593913</v>
      </c>
      <c r="N121" s="14">
        <f t="shared" si="11"/>
        <v>3.85</v>
      </c>
      <c r="O121" s="9">
        <f t="shared" si="12"/>
        <v>539</v>
      </c>
      <c r="P121" s="9">
        <f t="shared" si="13"/>
        <v>22.26</v>
      </c>
    </row>
    <row r="122">
      <c r="A122" s="8">
        <v>121.0</v>
      </c>
      <c r="B122" s="15">
        <v>4.774E-4</v>
      </c>
      <c r="C122" s="8">
        <v>0.079</v>
      </c>
      <c r="D122" s="9">
        <f t="shared" si="1"/>
        <v>24.65</v>
      </c>
      <c r="E122" s="16">
        <f t="shared" si="2"/>
        <v>0.96</v>
      </c>
      <c r="F122" s="10">
        <f t="shared" si="3"/>
        <v>1.979930405</v>
      </c>
      <c r="G122" s="11">
        <f t="shared" si="4"/>
        <v>63.4</v>
      </c>
      <c r="H122" s="10">
        <f t="shared" si="5"/>
        <v>44.793</v>
      </c>
      <c r="I122" s="10">
        <f t="shared" si="6"/>
        <v>8.06</v>
      </c>
      <c r="J122" s="12">
        <f t="shared" si="7"/>
        <v>12.713</v>
      </c>
      <c r="K122" s="13">
        <f t="shared" si="8"/>
        <v>0.866</v>
      </c>
      <c r="L122" s="10">
        <f t="shared" si="9"/>
        <v>0.184</v>
      </c>
      <c r="M122" s="10">
        <f t="shared" si="10"/>
        <v>0.03311883587</v>
      </c>
      <c r="N122" s="14">
        <f t="shared" si="11"/>
        <v>3.82</v>
      </c>
      <c r="O122" s="9">
        <f t="shared" si="12"/>
        <v>539</v>
      </c>
      <c r="P122" s="9">
        <f t="shared" si="13"/>
        <v>22.45</v>
      </c>
    </row>
    <row r="123">
      <c r="A123" s="8">
        <v>122.0</v>
      </c>
      <c r="B123" s="8">
        <v>0.001</v>
      </c>
      <c r="C123" s="8">
        <v>0.138</v>
      </c>
      <c r="D123" s="9">
        <f t="shared" si="1"/>
        <v>35.68</v>
      </c>
      <c r="E123" s="9">
        <f t="shared" si="2"/>
        <v>0.66</v>
      </c>
      <c r="F123" s="10">
        <f t="shared" si="3"/>
        <v>1.979763763</v>
      </c>
      <c r="G123" s="11">
        <f t="shared" si="4"/>
        <v>63.17</v>
      </c>
      <c r="H123" s="10">
        <f t="shared" si="5"/>
        <v>44.678</v>
      </c>
      <c r="I123" s="10">
        <f t="shared" si="6"/>
        <v>8.01</v>
      </c>
      <c r="J123" s="12">
        <f t="shared" si="7"/>
        <v>12.68</v>
      </c>
      <c r="K123" s="13">
        <f t="shared" si="8"/>
        <v>0.864</v>
      </c>
      <c r="L123" s="10">
        <f t="shared" si="9"/>
        <v>0.184</v>
      </c>
      <c r="M123" s="10">
        <f t="shared" si="10"/>
        <v>0.03298004762</v>
      </c>
      <c r="N123" s="14">
        <f t="shared" si="11"/>
        <v>3.82</v>
      </c>
      <c r="O123" s="9">
        <f t="shared" si="12"/>
        <v>539</v>
      </c>
      <c r="P123" s="9">
        <f t="shared" si="13"/>
        <v>22.63</v>
      </c>
    </row>
    <row r="124">
      <c r="A124" s="8">
        <v>123.0</v>
      </c>
      <c r="B124" s="15">
        <v>7.766E-4</v>
      </c>
      <c r="C124" s="8">
        <v>0.1</v>
      </c>
      <c r="D124" s="9">
        <f t="shared" si="1"/>
        <v>31.45</v>
      </c>
      <c r="E124" s="16">
        <f t="shared" si="2"/>
        <v>0.98</v>
      </c>
      <c r="F124" s="10">
        <f t="shared" si="3"/>
        <v>1.979599878</v>
      </c>
      <c r="G124" s="11">
        <f t="shared" si="4"/>
        <v>62.91</v>
      </c>
      <c r="H124" s="10">
        <f t="shared" si="5"/>
        <v>44.586</v>
      </c>
      <c r="I124" s="10">
        <f t="shared" si="6"/>
        <v>7.96</v>
      </c>
      <c r="J124" s="12">
        <f t="shared" si="7"/>
        <v>12.653</v>
      </c>
      <c r="K124" s="13">
        <f t="shared" si="8"/>
        <v>0.865</v>
      </c>
      <c r="L124" s="10">
        <f t="shared" si="9"/>
        <v>0.184</v>
      </c>
      <c r="M124" s="10">
        <f t="shared" si="10"/>
        <v>0.03284298983</v>
      </c>
      <c r="N124" s="14">
        <f t="shared" si="11"/>
        <v>3.8</v>
      </c>
      <c r="O124" s="9">
        <f t="shared" si="12"/>
        <v>539</v>
      </c>
      <c r="P124" s="9">
        <f t="shared" si="13"/>
        <v>22.82</v>
      </c>
    </row>
    <row r="125">
      <c r="A125" s="8">
        <v>124.0</v>
      </c>
      <c r="B125" s="8">
        <v>0.002</v>
      </c>
      <c r="C125" s="8">
        <v>0.179</v>
      </c>
      <c r="D125" s="9">
        <f t="shared" si="1"/>
        <v>50.46</v>
      </c>
      <c r="E125" s="9">
        <f t="shared" si="2"/>
        <v>0.78</v>
      </c>
      <c r="F125" s="10">
        <f t="shared" si="3"/>
        <v>1.979438685</v>
      </c>
      <c r="G125" s="11">
        <f t="shared" si="4"/>
        <v>62.81</v>
      </c>
      <c r="H125" s="10">
        <f t="shared" si="5"/>
        <v>44.419</v>
      </c>
      <c r="I125" s="10">
        <f t="shared" si="6"/>
        <v>7.9</v>
      </c>
      <c r="J125" s="12">
        <f t="shared" si="7"/>
        <v>12.578</v>
      </c>
      <c r="K125" s="13">
        <f t="shared" si="8"/>
        <v>0.864</v>
      </c>
      <c r="L125" s="10">
        <f t="shared" si="9"/>
        <v>0.183</v>
      </c>
      <c r="M125" s="10">
        <f t="shared" si="10"/>
        <v>0.03252986798</v>
      </c>
      <c r="N125" s="14">
        <f t="shared" si="11"/>
        <v>3.77</v>
      </c>
      <c r="O125" s="9">
        <f t="shared" si="12"/>
        <v>539</v>
      </c>
      <c r="P125" s="9">
        <f t="shared" si="13"/>
        <v>23.01</v>
      </c>
    </row>
    <row r="126">
      <c r="A126" s="8">
        <v>125.0</v>
      </c>
      <c r="B126" s="8">
        <v>0.007</v>
      </c>
      <c r="C126" s="8">
        <v>0.39</v>
      </c>
      <c r="D126" s="9">
        <f t="shared" si="1"/>
        <v>94.41</v>
      </c>
      <c r="E126" s="9">
        <f t="shared" si="2"/>
        <v>0.58</v>
      </c>
      <c r="F126" s="10">
        <f t="shared" si="3"/>
        <v>1.979280117</v>
      </c>
      <c r="G126" s="11">
        <f t="shared" si="4"/>
        <v>63.06</v>
      </c>
      <c r="H126" s="10">
        <f t="shared" si="5"/>
        <v>44.329</v>
      </c>
      <c r="I126" s="10">
        <f t="shared" si="6"/>
        <v>7.85</v>
      </c>
      <c r="J126" s="12">
        <f t="shared" si="7"/>
        <v>12.448</v>
      </c>
      <c r="K126" s="13">
        <f t="shared" si="8"/>
        <v>0.862</v>
      </c>
      <c r="L126" s="10">
        <f t="shared" si="9"/>
        <v>0.184</v>
      </c>
      <c r="M126" s="10">
        <f t="shared" si="10"/>
        <v>0.03257392397</v>
      </c>
      <c r="N126" s="14">
        <f t="shared" si="11"/>
        <v>3.78</v>
      </c>
      <c r="O126" s="9">
        <f t="shared" si="12"/>
        <v>539</v>
      </c>
      <c r="P126" s="9">
        <f t="shared" si="13"/>
        <v>23.19</v>
      </c>
    </row>
    <row r="127">
      <c r="A127" s="8">
        <v>126.0</v>
      </c>
      <c r="B127" s="8">
        <v>0.001</v>
      </c>
      <c r="C127" s="8">
        <v>0.13</v>
      </c>
      <c r="D127" s="9">
        <f t="shared" si="1"/>
        <v>35.68</v>
      </c>
      <c r="E127" s="9">
        <f t="shared" si="2"/>
        <v>0.74</v>
      </c>
      <c r="F127" s="10">
        <f t="shared" si="3"/>
        <v>1.979124109</v>
      </c>
      <c r="G127" s="11">
        <f t="shared" si="4"/>
        <v>62.85</v>
      </c>
      <c r="H127" s="10">
        <f t="shared" si="5"/>
        <v>44.219</v>
      </c>
      <c r="I127" s="10">
        <f t="shared" si="6"/>
        <v>7.8</v>
      </c>
      <c r="J127" s="12">
        <f t="shared" si="7"/>
        <v>12.411</v>
      </c>
      <c r="K127" s="13">
        <f t="shared" si="8"/>
        <v>0.861</v>
      </c>
      <c r="L127" s="10">
        <f t="shared" si="9"/>
        <v>0.184</v>
      </c>
      <c r="M127" s="10">
        <f t="shared" si="10"/>
        <v>0.0324418476</v>
      </c>
      <c r="N127" s="14">
        <f t="shared" si="11"/>
        <v>3.77</v>
      </c>
      <c r="O127" s="9">
        <f t="shared" si="12"/>
        <v>539</v>
      </c>
      <c r="P127" s="9">
        <f t="shared" si="13"/>
        <v>23.38</v>
      </c>
    </row>
    <row r="128">
      <c r="A128" s="8">
        <v>127.0</v>
      </c>
      <c r="B128" s="15">
        <v>2.292E-4</v>
      </c>
      <c r="C128" s="8">
        <v>0.054</v>
      </c>
      <c r="D128" s="9">
        <f t="shared" si="1"/>
        <v>17.08</v>
      </c>
      <c r="E128" s="16">
        <f t="shared" si="2"/>
        <v>0.99</v>
      </c>
      <c r="F128" s="10">
        <f t="shared" si="3"/>
        <v>1.978970602</v>
      </c>
      <c r="G128" s="11">
        <f t="shared" si="4"/>
        <v>62.48</v>
      </c>
      <c r="H128" s="10">
        <f t="shared" si="5"/>
        <v>44.23</v>
      </c>
      <c r="I128" s="10">
        <f t="shared" si="6"/>
        <v>7.77</v>
      </c>
      <c r="J128" s="12">
        <f t="shared" si="7"/>
        <v>12.436</v>
      </c>
      <c r="K128" s="13">
        <f t="shared" si="8"/>
        <v>0.862</v>
      </c>
      <c r="L128" s="10">
        <f t="shared" si="9"/>
        <v>0.183</v>
      </c>
      <c r="M128" s="10">
        <f t="shared" si="10"/>
        <v>0.03213575975</v>
      </c>
      <c r="N128" s="14">
        <f t="shared" si="11"/>
        <v>3.73</v>
      </c>
      <c r="O128" s="9">
        <f t="shared" si="12"/>
        <v>539</v>
      </c>
      <c r="P128" s="9">
        <f t="shared" si="13"/>
        <v>23.56</v>
      </c>
    </row>
    <row r="129">
      <c r="A129" s="8">
        <v>128.0</v>
      </c>
      <c r="B129" s="8">
        <v>0.002</v>
      </c>
      <c r="C129" s="8">
        <v>0.148</v>
      </c>
      <c r="D129" s="9">
        <f t="shared" si="1"/>
        <v>50.46</v>
      </c>
      <c r="E129" s="9">
        <f t="shared" si="2"/>
        <v>1.15</v>
      </c>
      <c r="F129" s="10">
        <f t="shared" si="3"/>
        <v>1.978819535</v>
      </c>
      <c r="G129" s="11">
        <f t="shared" si="4"/>
        <v>62.39</v>
      </c>
      <c r="H129" s="10">
        <f t="shared" si="5"/>
        <v>44.068</v>
      </c>
      <c r="I129" s="10">
        <f t="shared" si="6"/>
        <v>7.71</v>
      </c>
      <c r="J129" s="12">
        <f t="shared" si="7"/>
        <v>12.358</v>
      </c>
      <c r="K129" s="13">
        <f t="shared" si="8"/>
        <v>0.864</v>
      </c>
      <c r="L129" s="10">
        <f t="shared" si="9"/>
        <v>0.184</v>
      </c>
      <c r="M129" s="10">
        <f t="shared" si="10"/>
        <v>0.03218244437</v>
      </c>
      <c r="N129" s="14">
        <f t="shared" si="11"/>
        <v>3.72</v>
      </c>
      <c r="O129" s="9">
        <f t="shared" si="12"/>
        <v>539</v>
      </c>
      <c r="P129" s="9">
        <f t="shared" si="13"/>
        <v>23.75</v>
      </c>
    </row>
    <row r="130">
      <c r="A130" s="8">
        <v>129.0</v>
      </c>
      <c r="B130" s="8">
        <v>0.003</v>
      </c>
      <c r="C130" s="8">
        <v>0.202</v>
      </c>
      <c r="D130" s="9">
        <f t="shared" si="1"/>
        <v>61.8</v>
      </c>
      <c r="E130" s="9">
        <f t="shared" si="2"/>
        <v>0.92</v>
      </c>
      <c r="F130" s="10">
        <f t="shared" si="3"/>
        <v>1.97867085</v>
      </c>
      <c r="G130" s="11">
        <f t="shared" si="4"/>
        <v>62.39</v>
      </c>
      <c r="H130" s="10">
        <f t="shared" si="5"/>
        <v>43.896</v>
      </c>
      <c r="I130" s="10">
        <f t="shared" si="6"/>
        <v>7.65</v>
      </c>
      <c r="J130" s="12">
        <f t="shared" si="7"/>
        <v>12.262</v>
      </c>
      <c r="K130" s="13">
        <f t="shared" si="8"/>
        <v>0.865</v>
      </c>
      <c r="L130" s="10">
        <f t="shared" si="9"/>
        <v>0.184</v>
      </c>
      <c r="M130" s="10">
        <f t="shared" si="10"/>
        <v>0.03205505479</v>
      </c>
      <c r="N130" s="14">
        <f t="shared" si="11"/>
        <v>3.71</v>
      </c>
      <c r="O130" s="9">
        <f t="shared" si="12"/>
        <v>539</v>
      </c>
      <c r="P130" s="9">
        <f t="shared" si="13"/>
        <v>23.93</v>
      </c>
    </row>
    <row r="131">
      <c r="A131" s="8">
        <v>130.0</v>
      </c>
      <c r="B131" s="8">
        <v>0.002</v>
      </c>
      <c r="C131" s="8">
        <v>0.166</v>
      </c>
      <c r="D131" s="9">
        <f t="shared" si="1"/>
        <v>50.46</v>
      </c>
      <c r="E131" s="9">
        <f t="shared" si="2"/>
        <v>0.91</v>
      </c>
      <c r="F131" s="10">
        <f t="shared" si="3"/>
        <v>1.978524491</v>
      </c>
      <c r="G131" s="11">
        <f t="shared" si="4"/>
        <v>62.29</v>
      </c>
      <c r="H131" s="10">
        <f t="shared" si="5"/>
        <v>43.738</v>
      </c>
      <c r="I131" s="10">
        <f t="shared" si="6"/>
        <v>7.59</v>
      </c>
      <c r="J131" s="12">
        <f t="shared" si="7"/>
        <v>12.185</v>
      </c>
      <c r="K131" s="13">
        <f t="shared" si="8"/>
        <v>0.865</v>
      </c>
      <c r="L131" s="10">
        <f t="shared" si="9"/>
        <v>0.183</v>
      </c>
      <c r="M131" s="10">
        <f t="shared" si="10"/>
        <v>0.03175563812</v>
      </c>
      <c r="N131" s="14">
        <f t="shared" si="11"/>
        <v>3.67</v>
      </c>
      <c r="O131" s="9">
        <f t="shared" si="12"/>
        <v>539</v>
      </c>
      <c r="P131" s="9">
        <f t="shared" si="13"/>
        <v>24.12</v>
      </c>
    </row>
    <row r="132">
      <c r="A132" s="8">
        <v>131.0</v>
      </c>
      <c r="B132" s="15">
        <v>0.001</v>
      </c>
      <c r="C132" s="8">
        <v>0.131</v>
      </c>
      <c r="D132" s="9">
        <f t="shared" si="1"/>
        <v>35.68</v>
      </c>
      <c r="E132" s="16">
        <f t="shared" si="2"/>
        <v>0.73</v>
      </c>
      <c r="F132" s="10">
        <f t="shared" si="3"/>
        <v>1.978380405</v>
      </c>
      <c r="G132" s="11">
        <f t="shared" si="4"/>
        <v>62.09</v>
      </c>
      <c r="H132" s="10">
        <f t="shared" si="5"/>
        <v>43.632</v>
      </c>
      <c r="I132" s="10">
        <f t="shared" si="6"/>
        <v>7.54</v>
      </c>
      <c r="J132" s="12">
        <f t="shared" si="7"/>
        <v>12.144</v>
      </c>
      <c r="K132" s="13">
        <f t="shared" si="8"/>
        <v>0.864</v>
      </c>
      <c r="L132" s="10">
        <f t="shared" si="9"/>
        <v>0.183</v>
      </c>
      <c r="M132" s="10">
        <f t="shared" si="10"/>
        <v>0.03163189744</v>
      </c>
      <c r="N132" s="14">
        <f t="shared" si="11"/>
        <v>3.66</v>
      </c>
      <c r="O132" s="9">
        <f t="shared" si="12"/>
        <v>539</v>
      </c>
      <c r="P132" s="9">
        <f t="shared" si="13"/>
        <v>24.3</v>
      </c>
    </row>
    <row r="133">
      <c r="A133" s="8">
        <v>132.0</v>
      </c>
      <c r="B133" s="15">
        <v>8.084E-4</v>
      </c>
      <c r="C133" s="8">
        <v>0.103</v>
      </c>
      <c r="D133" s="9">
        <f t="shared" si="1"/>
        <v>32.08</v>
      </c>
      <c r="E133" s="16">
        <f t="shared" si="2"/>
        <v>0.96</v>
      </c>
      <c r="F133" s="10">
        <f t="shared" si="3"/>
        <v>1.978238539</v>
      </c>
      <c r="G133" s="11">
        <f t="shared" si="4"/>
        <v>61.86</v>
      </c>
      <c r="H133" s="10">
        <f t="shared" si="5"/>
        <v>43.543</v>
      </c>
      <c r="I133" s="10">
        <f t="shared" si="6"/>
        <v>7.5</v>
      </c>
      <c r="J133" s="12">
        <f t="shared" si="7"/>
        <v>12.124</v>
      </c>
      <c r="K133" s="13">
        <f t="shared" si="8"/>
        <v>0.865</v>
      </c>
      <c r="L133" s="10">
        <f t="shared" si="9"/>
        <v>0.182</v>
      </c>
      <c r="M133" s="10">
        <f t="shared" si="10"/>
        <v>0.03133740863</v>
      </c>
      <c r="N133" s="14">
        <f t="shared" si="11"/>
        <v>3.62</v>
      </c>
      <c r="O133" s="9">
        <f t="shared" si="12"/>
        <v>539</v>
      </c>
      <c r="P133" s="9">
        <f t="shared" si="13"/>
        <v>24.49</v>
      </c>
    </row>
    <row r="134">
      <c r="A134" s="8">
        <v>133.0</v>
      </c>
      <c r="B134" s="8">
        <v>0.003</v>
      </c>
      <c r="C134" s="8">
        <v>0.197</v>
      </c>
      <c r="D134" s="9">
        <f t="shared" si="1"/>
        <v>61.8</v>
      </c>
      <c r="E134" s="9">
        <f t="shared" si="2"/>
        <v>0.97</v>
      </c>
      <c r="F134" s="10">
        <f t="shared" si="3"/>
        <v>1.978098842</v>
      </c>
      <c r="G134" s="11">
        <f t="shared" si="4"/>
        <v>61.86</v>
      </c>
      <c r="H134" s="10">
        <f t="shared" si="5"/>
        <v>43.378</v>
      </c>
      <c r="I134" s="10">
        <f t="shared" si="6"/>
        <v>7.44</v>
      </c>
      <c r="J134" s="12">
        <f t="shared" si="7"/>
        <v>12.027</v>
      </c>
      <c r="K134" s="13">
        <f t="shared" si="8"/>
        <v>0.866</v>
      </c>
      <c r="L134" s="10">
        <f t="shared" si="9"/>
        <v>0.182</v>
      </c>
      <c r="M134" s="10">
        <f t="shared" si="10"/>
        <v>0.03121717192</v>
      </c>
      <c r="N134" s="14">
        <f t="shared" si="11"/>
        <v>3.6</v>
      </c>
      <c r="O134" s="9">
        <f t="shared" si="12"/>
        <v>539</v>
      </c>
      <c r="P134" s="9">
        <f t="shared" si="13"/>
        <v>24.68</v>
      </c>
    </row>
    <row r="135">
      <c r="A135" s="8">
        <v>134.0</v>
      </c>
      <c r="B135" s="15">
        <v>8.339E-4</v>
      </c>
      <c r="C135" s="8">
        <v>0.105</v>
      </c>
      <c r="D135" s="9">
        <f t="shared" si="1"/>
        <v>32.58</v>
      </c>
      <c r="E135" s="16">
        <f t="shared" si="2"/>
        <v>0.95</v>
      </c>
      <c r="F135" s="10">
        <f t="shared" si="3"/>
        <v>1.977961264</v>
      </c>
      <c r="G135" s="11">
        <f t="shared" si="4"/>
        <v>61.65</v>
      </c>
      <c r="H135" s="10">
        <f t="shared" si="5"/>
        <v>43.288</v>
      </c>
      <c r="I135" s="10">
        <f t="shared" si="6"/>
        <v>7.4</v>
      </c>
      <c r="J135" s="12">
        <f t="shared" si="7"/>
        <v>12.003</v>
      </c>
      <c r="K135" s="13">
        <f t="shared" si="8"/>
        <v>0.866</v>
      </c>
      <c r="L135" s="10">
        <f t="shared" si="9"/>
        <v>0.181</v>
      </c>
      <c r="M135" s="10">
        <f t="shared" si="10"/>
        <v>0.03092743892</v>
      </c>
      <c r="N135" s="14">
        <f t="shared" si="11"/>
        <v>3.57</v>
      </c>
      <c r="O135" s="9">
        <f t="shared" si="12"/>
        <v>539</v>
      </c>
      <c r="P135" s="9">
        <f t="shared" si="13"/>
        <v>24.86</v>
      </c>
    </row>
    <row r="136">
      <c r="A136" s="8">
        <v>135.0</v>
      </c>
      <c r="B136" s="8">
        <v>0.002</v>
      </c>
      <c r="C136" s="8">
        <v>0.156</v>
      </c>
      <c r="D136" s="9">
        <f t="shared" si="1"/>
        <v>50.46</v>
      </c>
      <c r="E136" s="9">
        <f t="shared" si="2"/>
        <v>1.03</v>
      </c>
      <c r="F136" s="10">
        <f t="shared" si="3"/>
        <v>1.977825758</v>
      </c>
      <c r="G136" s="11">
        <f t="shared" si="4"/>
        <v>61.56</v>
      </c>
      <c r="H136" s="10">
        <f t="shared" si="5"/>
        <v>43.137</v>
      </c>
      <c r="I136" s="10">
        <f t="shared" si="6"/>
        <v>7.34</v>
      </c>
      <c r="J136" s="12">
        <f t="shared" si="7"/>
        <v>11.923</v>
      </c>
      <c r="K136" s="13">
        <f t="shared" si="8"/>
        <v>0.867</v>
      </c>
      <c r="L136" s="10">
        <f t="shared" si="9"/>
        <v>0.181</v>
      </c>
      <c r="M136" s="10">
        <f t="shared" si="10"/>
        <v>0.03081056903</v>
      </c>
      <c r="N136" s="14">
        <f t="shared" si="11"/>
        <v>3.55</v>
      </c>
      <c r="O136" s="9">
        <f t="shared" si="12"/>
        <v>539</v>
      </c>
      <c r="P136" s="9">
        <f t="shared" si="13"/>
        <v>25.05</v>
      </c>
    </row>
    <row r="137">
      <c r="A137" s="8">
        <v>136.0</v>
      </c>
      <c r="B137" s="8">
        <v>0.004</v>
      </c>
      <c r="C137" s="8">
        <v>0.251</v>
      </c>
      <c r="D137" s="9">
        <f t="shared" si="1"/>
        <v>71.36</v>
      </c>
      <c r="E137" s="9">
        <f t="shared" si="2"/>
        <v>0.8</v>
      </c>
      <c r="F137" s="10">
        <f t="shared" si="3"/>
        <v>1.977692277</v>
      </c>
      <c r="G137" s="11">
        <f t="shared" si="4"/>
        <v>61.63</v>
      </c>
      <c r="H137" s="10">
        <f t="shared" si="5"/>
        <v>42.985</v>
      </c>
      <c r="I137" s="10">
        <f t="shared" si="6"/>
        <v>7.29</v>
      </c>
      <c r="J137" s="12">
        <f t="shared" si="7"/>
        <v>11.829</v>
      </c>
      <c r="K137" s="13">
        <f t="shared" si="8"/>
        <v>0.867</v>
      </c>
      <c r="L137" s="10">
        <f t="shared" si="9"/>
        <v>0.18</v>
      </c>
      <c r="M137" s="10">
        <f t="shared" si="10"/>
        <v>0.03052542847</v>
      </c>
      <c r="N137" s="14">
        <f t="shared" si="11"/>
        <v>3.52</v>
      </c>
      <c r="O137" s="9">
        <f t="shared" si="12"/>
        <v>539</v>
      </c>
      <c r="P137" s="9">
        <f t="shared" si="13"/>
        <v>25.23</v>
      </c>
    </row>
    <row r="138">
      <c r="A138" s="8">
        <v>137.0</v>
      </c>
      <c r="B138" s="15">
        <v>6.175E-4</v>
      </c>
      <c r="C138" s="8">
        <v>0.092</v>
      </c>
      <c r="D138" s="9">
        <f t="shared" si="1"/>
        <v>28.04</v>
      </c>
      <c r="E138" s="16">
        <f t="shared" si="2"/>
        <v>0.92</v>
      </c>
      <c r="F138" s="10">
        <f t="shared" si="3"/>
        <v>1.977560777</v>
      </c>
      <c r="G138" s="11">
        <f t="shared" si="4"/>
        <v>61.39</v>
      </c>
      <c r="H138" s="10">
        <f t="shared" si="5"/>
        <v>42.923</v>
      </c>
      <c r="I138" s="10">
        <f t="shared" si="6"/>
        <v>7.25</v>
      </c>
      <c r="J138" s="12">
        <f t="shared" si="7"/>
        <v>11.81</v>
      </c>
      <c r="K138" s="13">
        <f t="shared" si="8"/>
        <v>0.867</v>
      </c>
      <c r="L138" s="10">
        <f t="shared" si="9"/>
        <v>0.18</v>
      </c>
      <c r="M138" s="10">
        <f t="shared" si="10"/>
        <v>0.03041179547</v>
      </c>
      <c r="N138" s="14">
        <f t="shared" si="11"/>
        <v>3.51</v>
      </c>
      <c r="O138" s="9">
        <f t="shared" si="12"/>
        <v>539</v>
      </c>
      <c r="P138" s="9">
        <f t="shared" si="13"/>
        <v>25.42</v>
      </c>
    </row>
    <row r="139">
      <c r="A139" s="8">
        <v>138.0</v>
      </c>
      <c r="B139" s="8">
        <v>0.002</v>
      </c>
      <c r="C139" s="8">
        <v>0.166</v>
      </c>
      <c r="D139" s="9">
        <f t="shared" si="1"/>
        <v>50.46</v>
      </c>
      <c r="E139" s="9">
        <f t="shared" si="2"/>
        <v>0.91</v>
      </c>
      <c r="F139" s="10">
        <f t="shared" si="3"/>
        <v>1.977431212</v>
      </c>
      <c r="G139" s="11">
        <f t="shared" si="4"/>
        <v>61.31</v>
      </c>
      <c r="H139" s="10">
        <f t="shared" si="5"/>
        <v>42.776</v>
      </c>
      <c r="I139" s="10">
        <f t="shared" si="6"/>
        <v>7.2</v>
      </c>
      <c r="J139" s="12">
        <f t="shared" si="7"/>
        <v>11.744</v>
      </c>
      <c r="K139" s="13">
        <f t="shared" si="8"/>
        <v>0.868</v>
      </c>
      <c r="L139" s="10">
        <f t="shared" si="9"/>
        <v>0.179</v>
      </c>
      <c r="M139" s="10">
        <f t="shared" si="10"/>
        <v>0.03013109208</v>
      </c>
      <c r="N139" s="14">
        <f t="shared" si="11"/>
        <v>3.47</v>
      </c>
      <c r="O139" s="9">
        <f t="shared" si="12"/>
        <v>539</v>
      </c>
      <c r="P139" s="9">
        <f t="shared" si="13"/>
        <v>25.6</v>
      </c>
    </row>
    <row r="140">
      <c r="A140" s="8">
        <v>139.0</v>
      </c>
      <c r="B140" s="8">
        <v>0.003</v>
      </c>
      <c r="C140" s="8">
        <v>0.198</v>
      </c>
      <c r="D140" s="9">
        <f t="shared" si="1"/>
        <v>61.8</v>
      </c>
      <c r="E140" s="9">
        <f t="shared" si="2"/>
        <v>0.96</v>
      </c>
      <c r="F140" s="10">
        <f t="shared" si="3"/>
        <v>1.977303542</v>
      </c>
      <c r="G140" s="11">
        <f t="shared" si="4"/>
        <v>61.31</v>
      </c>
      <c r="H140" s="10">
        <f t="shared" si="5"/>
        <v>42.621</v>
      </c>
      <c r="I140" s="10">
        <f t="shared" si="6"/>
        <v>7.15</v>
      </c>
      <c r="J140" s="12">
        <f t="shared" si="7"/>
        <v>11.662</v>
      </c>
      <c r="K140" s="13">
        <f t="shared" si="8"/>
        <v>0.868</v>
      </c>
      <c r="L140" s="10">
        <f t="shared" si="9"/>
        <v>0.179</v>
      </c>
      <c r="M140" s="10">
        <f t="shared" si="10"/>
        <v>0.03002057285</v>
      </c>
      <c r="N140" s="14">
        <f t="shared" si="11"/>
        <v>3.46</v>
      </c>
      <c r="O140" s="9">
        <f t="shared" si="12"/>
        <v>539</v>
      </c>
      <c r="P140" s="9">
        <f t="shared" si="13"/>
        <v>25.79</v>
      </c>
    </row>
    <row r="141">
      <c r="A141" s="8">
        <v>140.0</v>
      </c>
      <c r="B141" s="8">
        <v>0.002</v>
      </c>
      <c r="C141" s="8">
        <v>0.151</v>
      </c>
      <c r="D141" s="9">
        <f t="shared" si="1"/>
        <v>50.46</v>
      </c>
      <c r="E141" s="9">
        <f t="shared" si="2"/>
        <v>1.1</v>
      </c>
      <c r="F141" s="10">
        <f t="shared" si="3"/>
        <v>1.977177724</v>
      </c>
      <c r="G141" s="11">
        <f t="shared" si="4"/>
        <v>61.24</v>
      </c>
      <c r="H141" s="10">
        <f t="shared" si="5"/>
        <v>42.477</v>
      </c>
      <c r="I141" s="10">
        <f t="shared" si="6"/>
        <v>7.1</v>
      </c>
      <c r="J141" s="12">
        <f t="shared" si="7"/>
        <v>11.594</v>
      </c>
      <c r="K141" s="13">
        <f t="shared" si="8"/>
        <v>0.87</v>
      </c>
      <c r="L141" s="10">
        <f t="shared" si="9"/>
        <v>0.179</v>
      </c>
      <c r="M141" s="10">
        <f t="shared" si="10"/>
        <v>0.02991126098</v>
      </c>
      <c r="N141" s="14">
        <f t="shared" si="11"/>
        <v>3.44</v>
      </c>
      <c r="O141" s="9">
        <f t="shared" si="12"/>
        <v>539</v>
      </c>
      <c r="P141" s="9">
        <f t="shared" si="13"/>
        <v>25.97</v>
      </c>
    </row>
    <row r="142">
      <c r="A142" s="8">
        <v>141.0</v>
      </c>
      <c r="B142" s="8">
        <v>0.004</v>
      </c>
      <c r="C142" s="8">
        <v>0.258</v>
      </c>
      <c r="D142" s="9">
        <f t="shared" si="1"/>
        <v>71.36</v>
      </c>
      <c r="E142" s="9">
        <f t="shared" si="2"/>
        <v>0.76</v>
      </c>
      <c r="F142" s="10">
        <f t="shared" si="3"/>
        <v>1.97705372</v>
      </c>
      <c r="G142" s="11">
        <f t="shared" si="4"/>
        <v>61.31</v>
      </c>
      <c r="H142" s="10">
        <f t="shared" si="5"/>
        <v>42.334</v>
      </c>
      <c r="I142" s="10">
        <f t="shared" si="6"/>
        <v>7.05</v>
      </c>
      <c r="J142" s="12">
        <f t="shared" si="7"/>
        <v>11.499</v>
      </c>
      <c r="K142" s="13">
        <f t="shared" si="8"/>
        <v>0.869</v>
      </c>
      <c r="L142" s="10">
        <f t="shared" si="9"/>
        <v>0.179</v>
      </c>
      <c r="M142" s="10">
        <f t="shared" si="10"/>
        <v>0.02980313463</v>
      </c>
      <c r="N142" s="14">
        <f t="shared" si="11"/>
        <v>3.43</v>
      </c>
      <c r="O142" s="9">
        <f t="shared" si="12"/>
        <v>539</v>
      </c>
      <c r="P142" s="9">
        <f t="shared" si="13"/>
        <v>26.16</v>
      </c>
    </row>
    <row r="143">
      <c r="A143" s="8">
        <v>142.0</v>
      </c>
      <c r="B143" s="15">
        <v>8.53E-4</v>
      </c>
      <c r="C143" s="8">
        <v>0.108</v>
      </c>
      <c r="D143" s="9">
        <f t="shared" si="1"/>
        <v>32.96</v>
      </c>
      <c r="E143" s="16">
        <f t="shared" si="2"/>
        <v>0.92</v>
      </c>
      <c r="F143" s="10">
        <f t="shared" si="3"/>
        <v>1.976931489</v>
      </c>
      <c r="G143" s="11">
        <f t="shared" si="4"/>
        <v>61.11</v>
      </c>
      <c r="H143" s="10">
        <f t="shared" si="5"/>
        <v>42.251</v>
      </c>
      <c r="I143" s="10">
        <f t="shared" si="6"/>
        <v>7.01</v>
      </c>
      <c r="J143" s="12">
        <f t="shared" si="7"/>
        <v>11.471</v>
      </c>
      <c r="K143" s="13">
        <f t="shared" si="8"/>
        <v>0.87</v>
      </c>
      <c r="L143" s="10">
        <f t="shared" si="9"/>
        <v>0.178</v>
      </c>
      <c r="M143" s="10">
        <f t="shared" si="10"/>
        <v>0.02953027212</v>
      </c>
      <c r="N143" s="14">
        <f t="shared" si="11"/>
        <v>3.39</v>
      </c>
      <c r="O143" s="9">
        <f t="shared" si="12"/>
        <v>539</v>
      </c>
      <c r="P143" s="9">
        <f t="shared" si="13"/>
        <v>26.35</v>
      </c>
    </row>
    <row r="144">
      <c r="A144" s="8">
        <v>143.0</v>
      </c>
      <c r="B144" s="8">
        <v>0.002</v>
      </c>
      <c r="C144" s="8">
        <v>0.163</v>
      </c>
      <c r="D144" s="9">
        <f t="shared" si="1"/>
        <v>50.46</v>
      </c>
      <c r="E144" s="9">
        <f t="shared" si="2"/>
        <v>0.95</v>
      </c>
      <c r="F144" s="10">
        <f t="shared" si="3"/>
        <v>1.976810994</v>
      </c>
      <c r="G144" s="11">
        <f t="shared" si="4"/>
        <v>61.03</v>
      </c>
      <c r="H144" s="10">
        <f t="shared" si="5"/>
        <v>42.111</v>
      </c>
      <c r="I144" s="10">
        <f t="shared" si="6"/>
        <v>6.96</v>
      </c>
      <c r="J144" s="12">
        <f t="shared" si="7"/>
        <v>11.404</v>
      </c>
      <c r="K144" s="13">
        <f t="shared" si="8"/>
        <v>0.87</v>
      </c>
      <c r="L144" s="10">
        <f t="shared" si="9"/>
        <v>0.178</v>
      </c>
      <c r="M144" s="10">
        <f t="shared" si="10"/>
        <v>0.0294250447</v>
      </c>
      <c r="N144" s="14">
        <f t="shared" si="11"/>
        <v>3.38</v>
      </c>
      <c r="O144" s="9">
        <f t="shared" si="12"/>
        <v>539</v>
      </c>
      <c r="P144" s="9">
        <f t="shared" si="13"/>
        <v>26.53</v>
      </c>
    </row>
    <row r="145">
      <c r="A145" s="8">
        <v>144.0</v>
      </c>
      <c r="B145" s="8">
        <v>0.019</v>
      </c>
      <c r="C145" s="8">
        <v>0.555</v>
      </c>
      <c r="D145" s="9">
        <f t="shared" si="1"/>
        <v>155.54</v>
      </c>
      <c r="E145" s="9">
        <f t="shared" si="2"/>
        <v>0.78</v>
      </c>
      <c r="F145" s="10">
        <f t="shared" si="3"/>
        <v>1.976692198</v>
      </c>
      <c r="G145" s="11">
        <f t="shared" si="4"/>
        <v>61.69</v>
      </c>
      <c r="H145" s="10">
        <f t="shared" si="5"/>
        <v>42.696</v>
      </c>
      <c r="I145" s="10">
        <f t="shared" si="6"/>
        <v>7.03</v>
      </c>
      <c r="J145" s="12">
        <f t="shared" si="7"/>
        <v>11.396</v>
      </c>
      <c r="K145" s="13">
        <f t="shared" si="8"/>
        <v>0.869</v>
      </c>
      <c r="L145" s="10">
        <f t="shared" si="9"/>
        <v>0.177</v>
      </c>
      <c r="M145" s="10">
        <f t="shared" si="10"/>
        <v>0.02915620992</v>
      </c>
      <c r="N145" s="14">
        <f t="shared" si="11"/>
        <v>3.36</v>
      </c>
      <c r="O145" s="9">
        <f t="shared" si="12"/>
        <v>539</v>
      </c>
      <c r="P145" s="9">
        <f t="shared" si="13"/>
        <v>26.72</v>
      </c>
    </row>
    <row r="146">
      <c r="A146" s="8">
        <v>145.0</v>
      </c>
      <c r="B146" s="8">
        <v>0.002</v>
      </c>
      <c r="C146" s="8">
        <v>0.176</v>
      </c>
      <c r="D146" s="9">
        <f t="shared" si="1"/>
        <v>50.46</v>
      </c>
      <c r="E146" s="9">
        <f t="shared" si="2"/>
        <v>0.81</v>
      </c>
      <c r="F146" s="10">
        <f t="shared" si="3"/>
        <v>1.976575066</v>
      </c>
      <c r="G146" s="11">
        <f t="shared" si="4"/>
        <v>61.61</v>
      </c>
      <c r="H146" s="10">
        <f t="shared" si="5"/>
        <v>42.558</v>
      </c>
      <c r="I146" s="10">
        <f t="shared" si="6"/>
        <v>6.99</v>
      </c>
      <c r="J146" s="12">
        <f t="shared" si="7"/>
        <v>11.346</v>
      </c>
      <c r="K146" s="13">
        <f t="shared" si="8"/>
        <v>0.869</v>
      </c>
      <c r="L146" s="10">
        <f t="shared" si="9"/>
        <v>0.177</v>
      </c>
      <c r="M146" s="10">
        <f t="shared" si="10"/>
        <v>0.02905377559</v>
      </c>
      <c r="N146" s="14">
        <f t="shared" si="11"/>
        <v>3.34</v>
      </c>
      <c r="O146" s="9">
        <f t="shared" si="12"/>
        <v>539</v>
      </c>
      <c r="P146" s="9">
        <f t="shared" si="13"/>
        <v>26.9</v>
      </c>
    </row>
    <row r="147">
      <c r="A147" s="8">
        <v>146.0</v>
      </c>
      <c r="B147" s="15">
        <v>6.047E-4</v>
      </c>
      <c r="C147" s="8">
        <v>0.09</v>
      </c>
      <c r="D147" s="9">
        <f t="shared" si="1"/>
        <v>27.75</v>
      </c>
      <c r="E147" s="16">
        <f t="shared" si="2"/>
        <v>0.94</v>
      </c>
      <c r="F147" s="10">
        <f t="shared" si="3"/>
        <v>1.976459563</v>
      </c>
      <c r="G147" s="11">
        <f t="shared" si="4"/>
        <v>61.38</v>
      </c>
      <c r="H147" s="10">
        <f t="shared" si="5"/>
        <v>42.503</v>
      </c>
      <c r="I147" s="10">
        <f t="shared" si="6"/>
        <v>6.95</v>
      </c>
      <c r="J147" s="12">
        <f t="shared" si="7"/>
        <v>11.323</v>
      </c>
      <c r="K147" s="13">
        <f t="shared" si="8"/>
        <v>0.87</v>
      </c>
      <c r="L147" s="10">
        <f t="shared" si="9"/>
        <v>0.176</v>
      </c>
      <c r="M147" s="10">
        <f t="shared" si="10"/>
        <v>0.02878884048</v>
      </c>
      <c r="N147" s="14">
        <f t="shared" si="11"/>
        <v>3.31</v>
      </c>
      <c r="O147" s="9">
        <f t="shared" si="12"/>
        <v>539</v>
      </c>
      <c r="P147" s="9">
        <f t="shared" si="13"/>
        <v>27.09</v>
      </c>
    </row>
    <row r="148">
      <c r="A148" s="8">
        <v>147.0</v>
      </c>
      <c r="B148" s="8">
        <v>0.271</v>
      </c>
      <c r="C148" s="8">
        <v>2.254</v>
      </c>
      <c r="D148" s="9">
        <f t="shared" si="1"/>
        <v>587.41</v>
      </c>
      <c r="E148" s="9">
        <f t="shared" si="2"/>
        <v>0.67</v>
      </c>
      <c r="F148" s="10">
        <f t="shared" si="3"/>
        <v>1.976345655</v>
      </c>
      <c r="G148" s="11">
        <f t="shared" si="4"/>
        <v>64.96</v>
      </c>
      <c r="H148" s="10">
        <f t="shared" si="5"/>
        <v>60.634</v>
      </c>
      <c r="I148" s="10">
        <f t="shared" si="6"/>
        <v>9.88</v>
      </c>
      <c r="J148" s="12">
        <f t="shared" si="7"/>
        <v>15.209</v>
      </c>
      <c r="K148" s="13">
        <f t="shared" si="8"/>
        <v>0.868</v>
      </c>
      <c r="L148" s="10">
        <f t="shared" si="9"/>
        <v>0.176</v>
      </c>
      <c r="M148" s="10">
        <f t="shared" si="10"/>
        <v>0.02868909863</v>
      </c>
      <c r="N148" s="14">
        <f t="shared" si="11"/>
        <v>3.31</v>
      </c>
      <c r="O148" s="9">
        <f t="shared" si="12"/>
        <v>539</v>
      </c>
      <c r="P148" s="9">
        <f t="shared" si="13"/>
        <v>27.27</v>
      </c>
    </row>
    <row r="149">
      <c r="A149" s="8">
        <v>148.0</v>
      </c>
      <c r="B149" s="8">
        <v>0.002</v>
      </c>
      <c r="C149" s="8">
        <v>0.179</v>
      </c>
      <c r="D149" s="9">
        <f t="shared" si="1"/>
        <v>50.46</v>
      </c>
      <c r="E149" s="9">
        <f t="shared" si="2"/>
        <v>0.78</v>
      </c>
      <c r="F149" s="10">
        <f t="shared" si="3"/>
        <v>1.976233309</v>
      </c>
      <c r="G149" s="11">
        <f t="shared" si="4"/>
        <v>64.86</v>
      </c>
      <c r="H149" s="10">
        <f t="shared" si="5"/>
        <v>60.44</v>
      </c>
      <c r="I149" s="10">
        <f t="shared" si="6"/>
        <v>9.82</v>
      </c>
      <c r="J149" s="12">
        <f t="shared" si="7"/>
        <v>15.14</v>
      </c>
      <c r="K149" s="13">
        <f t="shared" si="8"/>
        <v>0.868</v>
      </c>
      <c r="L149" s="10">
        <f t="shared" si="9"/>
        <v>0.176</v>
      </c>
      <c r="M149" s="10">
        <f t="shared" si="10"/>
        <v>0.02859038641</v>
      </c>
      <c r="N149" s="14">
        <f t="shared" si="11"/>
        <v>3.29</v>
      </c>
      <c r="O149" s="9">
        <f t="shared" si="12"/>
        <v>539</v>
      </c>
      <c r="P149" s="9">
        <f t="shared" si="13"/>
        <v>27.46</v>
      </c>
    </row>
    <row r="150">
      <c r="A150" s="8">
        <v>149.0</v>
      </c>
      <c r="B150" s="8">
        <v>0.003</v>
      </c>
      <c r="C150" s="8">
        <v>0.217</v>
      </c>
      <c r="D150" s="9">
        <f t="shared" si="1"/>
        <v>61.8</v>
      </c>
      <c r="E150" s="9">
        <f t="shared" si="2"/>
        <v>0.8</v>
      </c>
      <c r="F150" s="10">
        <f t="shared" si="3"/>
        <v>1.976122494</v>
      </c>
      <c r="G150" s="11">
        <f t="shared" si="4"/>
        <v>64.84</v>
      </c>
      <c r="H150" s="10">
        <f t="shared" si="5"/>
        <v>60.236</v>
      </c>
      <c r="I150" s="10">
        <f t="shared" si="6"/>
        <v>9.75</v>
      </c>
      <c r="J150" s="12">
        <f t="shared" si="7"/>
        <v>15.037</v>
      </c>
      <c r="K150" s="13">
        <f t="shared" si="8"/>
        <v>0.867</v>
      </c>
      <c r="L150" s="10">
        <f t="shared" si="9"/>
        <v>0.175</v>
      </c>
      <c r="M150" s="10">
        <f t="shared" si="10"/>
        <v>0.02833079595</v>
      </c>
      <c r="N150" s="14">
        <f t="shared" si="11"/>
        <v>3.27</v>
      </c>
      <c r="O150" s="9">
        <f t="shared" si="12"/>
        <v>539</v>
      </c>
      <c r="P150" s="9">
        <f t="shared" si="13"/>
        <v>27.64</v>
      </c>
    </row>
    <row r="151">
      <c r="A151" s="8">
        <v>150.0</v>
      </c>
      <c r="B151" s="8">
        <v>0.002</v>
      </c>
      <c r="C151" s="8">
        <v>0.155</v>
      </c>
      <c r="D151" s="9">
        <f t="shared" si="1"/>
        <v>50.46</v>
      </c>
      <c r="E151" s="9">
        <f t="shared" si="2"/>
        <v>1.05</v>
      </c>
      <c r="F151" s="10">
        <f t="shared" si="3"/>
        <v>1.976013178</v>
      </c>
      <c r="G151" s="11">
        <f t="shared" si="4"/>
        <v>64.74</v>
      </c>
      <c r="H151" s="10">
        <f t="shared" si="5"/>
        <v>60.045</v>
      </c>
      <c r="I151" s="10">
        <f t="shared" si="6"/>
        <v>9.69</v>
      </c>
      <c r="J151" s="12">
        <f t="shared" si="7"/>
        <v>14.968</v>
      </c>
      <c r="K151" s="13">
        <f t="shared" si="8"/>
        <v>0.868</v>
      </c>
      <c r="L151" s="10">
        <f t="shared" si="9"/>
        <v>0.175</v>
      </c>
      <c r="M151" s="10">
        <f t="shared" si="10"/>
        <v>0.02823464006</v>
      </c>
      <c r="N151" s="14">
        <f t="shared" si="11"/>
        <v>3.25</v>
      </c>
      <c r="O151" s="9">
        <f t="shared" si="12"/>
        <v>539</v>
      </c>
      <c r="P151" s="9">
        <f t="shared" si="13"/>
        <v>27.83</v>
      </c>
    </row>
    <row r="152">
      <c r="A152" s="8">
        <v>151.0</v>
      </c>
      <c r="B152" s="8">
        <v>0.034</v>
      </c>
      <c r="C152" s="8">
        <v>0.781</v>
      </c>
      <c r="D152" s="9">
        <f t="shared" si="1"/>
        <v>208.06</v>
      </c>
      <c r="E152" s="9">
        <f t="shared" si="2"/>
        <v>0.7</v>
      </c>
      <c r="F152" s="10">
        <f t="shared" si="3"/>
        <v>1.975905331</v>
      </c>
      <c r="G152" s="11">
        <f t="shared" si="4"/>
        <v>65.69</v>
      </c>
      <c r="H152" s="10">
        <f t="shared" si="5"/>
        <v>60.97</v>
      </c>
      <c r="I152" s="10">
        <f t="shared" si="6"/>
        <v>9.8</v>
      </c>
      <c r="J152" s="12">
        <f t="shared" si="7"/>
        <v>14.919</v>
      </c>
      <c r="K152" s="13">
        <f t="shared" si="8"/>
        <v>0.867</v>
      </c>
      <c r="L152" s="10">
        <f t="shared" si="9"/>
        <v>0.175</v>
      </c>
      <c r="M152" s="10">
        <f t="shared" si="10"/>
        <v>0.02813945669</v>
      </c>
      <c r="N152" s="14">
        <f t="shared" si="11"/>
        <v>3.25</v>
      </c>
      <c r="O152" s="9">
        <f t="shared" si="12"/>
        <v>539</v>
      </c>
      <c r="P152" s="9">
        <f t="shared" si="13"/>
        <v>28.01</v>
      </c>
    </row>
    <row r="153">
      <c r="A153" s="8">
        <v>152.0</v>
      </c>
      <c r="B153" s="8">
        <v>0.002</v>
      </c>
      <c r="C153" s="8">
        <v>0.163</v>
      </c>
      <c r="D153" s="9">
        <f t="shared" si="1"/>
        <v>50.46</v>
      </c>
      <c r="E153" s="9">
        <f t="shared" si="2"/>
        <v>0.95</v>
      </c>
      <c r="F153" s="10">
        <f t="shared" si="3"/>
        <v>1.975798924</v>
      </c>
      <c r="G153" s="11">
        <f t="shared" si="4"/>
        <v>65.59</v>
      </c>
      <c r="H153" s="10">
        <f t="shared" si="5"/>
        <v>60.78</v>
      </c>
      <c r="I153" s="10">
        <f t="shared" si="6"/>
        <v>9.74</v>
      </c>
      <c r="J153" s="12">
        <f t="shared" si="7"/>
        <v>14.85</v>
      </c>
      <c r="K153" s="13">
        <f t="shared" si="8"/>
        <v>0.868</v>
      </c>
      <c r="L153" s="10">
        <f t="shared" si="9"/>
        <v>0.175</v>
      </c>
      <c r="M153" s="10">
        <f t="shared" si="10"/>
        <v>0.02804522956</v>
      </c>
      <c r="N153" s="14">
        <f t="shared" si="11"/>
        <v>3.23</v>
      </c>
      <c r="O153" s="9">
        <f t="shared" si="12"/>
        <v>539</v>
      </c>
      <c r="P153" s="9">
        <f t="shared" si="13"/>
        <v>28.2</v>
      </c>
    </row>
    <row r="154">
      <c r="A154" s="8">
        <v>153.0</v>
      </c>
      <c r="B154" s="15">
        <v>4.265E-4</v>
      </c>
      <c r="C154" s="8">
        <v>0.073</v>
      </c>
      <c r="D154" s="9">
        <f t="shared" si="1"/>
        <v>23.3</v>
      </c>
      <c r="E154" s="16">
        <f t="shared" si="2"/>
        <v>1.01</v>
      </c>
      <c r="F154" s="10">
        <f t="shared" si="3"/>
        <v>1.975693928</v>
      </c>
      <c r="G154" s="11">
        <f t="shared" si="4"/>
        <v>65.32</v>
      </c>
      <c r="H154" s="10">
        <f t="shared" si="5"/>
        <v>60.676</v>
      </c>
      <c r="I154" s="10">
        <f t="shared" si="6"/>
        <v>9.69</v>
      </c>
      <c r="J154" s="12">
        <f t="shared" si="7"/>
        <v>14.835</v>
      </c>
      <c r="K154" s="13">
        <f t="shared" si="8"/>
        <v>0.869</v>
      </c>
      <c r="L154" s="10">
        <f t="shared" si="9"/>
        <v>0.175</v>
      </c>
      <c r="M154" s="10">
        <f t="shared" si="10"/>
        <v>0.02795194276</v>
      </c>
      <c r="N154" s="14">
        <f t="shared" si="11"/>
        <v>3.22</v>
      </c>
      <c r="O154" s="9">
        <f t="shared" si="12"/>
        <v>539</v>
      </c>
      <c r="P154" s="9">
        <f t="shared" si="13"/>
        <v>28.39</v>
      </c>
    </row>
    <row r="155">
      <c r="A155" s="8">
        <v>154.0</v>
      </c>
      <c r="B155" s="15">
        <v>6.366E-4</v>
      </c>
      <c r="C155" s="8">
        <v>0.09</v>
      </c>
      <c r="D155" s="9">
        <f t="shared" si="1"/>
        <v>28.47</v>
      </c>
      <c r="E155" s="16">
        <f t="shared" si="2"/>
        <v>0.99</v>
      </c>
      <c r="F155" s="10">
        <f t="shared" si="3"/>
        <v>1.975590315</v>
      </c>
      <c r="G155" s="11">
        <f t="shared" si="4"/>
        <v>65.08</v>
      </c>
      <c r="H155" s="10">
        <f t="shared" si="5"/>
        <v>60.551</v>
      </c>
      <c r="I155" s="10">
        <f t="shared" si="6"/>
        <v>9.64</v>
      </c>
      <c r="J155" s="12">
        <f t="shared" si="7"/>
        <v>14.813</v>
      </c>
      <c r="K155" s="13">
        <f t="shared" si="8"/>
        <v>0.869</v>
      </c>
      <c r="L155" s="10">
        <f t="shared" si="9"/>
        <v>0.174</v>
      </c>
      <c r="M155" s="10">
        <f t="shared" si="10"/>
        <v>0.02770038315</v>
      </c>
      <c r="N155" s="14">
        <f t="shared" si="11"/>
        <v>3.19</v>
      </c>
      <c r="O155" s="9">
        <f t="shared" si="12"/>
        <v>539</v>
      </c>
      <c r="P155" s="9">
        <f t="shared" si="13"/>
        <v>28.57</v>
      </c>
    </row>
    <row r="156">
      <c r="A156" s="8">
        <v>155.0</v>
      </c>
      <c r="B156" s="15">
        <v>3.374E-4</v>
      </c>
      <c r="C156" s="8">
        <v>0.064</v>
      </c>
      <c r="D156" s="9">
        <f t="shared" si="1"/>
        <v>20.73</v>
      </c>
      <c r="E156" s="16">
        <f t="shared" si="2"/>
        <v>1.04</v>
      </c>
      <c r="F156" s="10">
        <f t="shared" si="3"/>
        <v>1.975488058</v>
      </c>
      <c r="G156" s="11">
        <f t="shared" si="4"/>
        <v>64.79</v>
      </c>
      <c r="H156" s="10">
        <f t="shared" si="5"/>
        <v>60.459</v>
      </c>
      <c r="I156" s="10">
        <f t="shared" si="6"/>
        <v>9.59</v>
      </c>
      <c r="J156" s="12">
        <f t="shared" si="7"/>
        <v>14.802</v>
      </c>
      <c r="K156" s="13">
        <f t="shared" si="8"/>
        <v>0.871</v>
      </c>
      <c r="L156" s="10">
        <f t="shared" si="9"/>
        <v>0.174</v>
      </c>
      <c r="M156" s="10">
        <f t="shared" si="10"/>
        <v>0.02760945335</v>
      </c>
      <c r="N156" s="14">
        <f t="shared" si="11"/>
        <v>3.17</v>
      </c>
      <c r="O156" s="9">
        <f t="shared" si="12"/>
        <v>539</v>
      </c>
      <c r="P156" s="9">
        <f t="shared" si="13"/>
        <v>28.76</v>
      </c>
    </row>
    <row r="157">
      <c r="A157" s="8">
        <v>156.0</v>
      </c>
      <c r="B157" s="15">
        <v>5.92E-4</v>
      </c>
      <c r="C157" s="8">
        <v>0.091</v>
      </c>
      <c r="D157" s="9">
        <f t="shared" si="1"/>
        <v>27.45</v>
      </c>
      <c r="E157" s="16">
        <f t="shared" si="2"/>
        <v>0.9</v>
      </c>
      <c r="F157" s="10">
        <f t="shared" si="3"/>
        <v>1.975387131</v>
      </c>
      <c r="G157" s="11">
        <f t="shared" si="4"/>
        <v>64.55</v>
      </c>
      <c r="H157" s="10">
        <f t="shared" si="5"/>
        <v>60.338</v>
      </c>
      <c r="I157" s="10">
        <f t="shared" si="6"/>
        <v>9.54</v>
      </c>
      <c r="J157" s="12">
        <f t="shared" si="7"/>
        <v>14.779</v>
      </c>
      <c r="K157" s="13">
        <f t="shared" si="8"/>
        <v>0.871</v>
      </c>
      <c r="L157" s="10">
        <f t="shared" si="9"/>
        <v>0.174</v>
      </c>
      <c r="M157" s="10">
        <f t="shared" si="10"/>
        <v>0.02751941321</v>
      </c>
      <c r="N157" s="14">
        <f t="shared" si="11"/>
        <v>3.16</v>
      </c>
      <c r="O157" s="9">
        <f t="shared" si="12"/>
        <v>539</v>
      </c>
      <c r="P157" s="9">
        <f t="shared" si="13"/>
        <v>28.94</v>
      </c>
    </row>
    <row r="158">
      <c r="A158" s="8">
        <v>157.0</v>
      </c>
      <c r="B158" s="15">
        <v>6.366E-4</v>
      </c>
      <c r="C158" s="8">
        <v>0.089</v>
      </c>
      <c r="D158" s="9">
        <f t="shared" si="1"/>
        <v>28.47</v>
      </c>
      <c r="E158" s="16">
        <f t="shared" si="2"/>
        <v>1.01</v>
      </c>
      <c r="F158" s="10">
        <f t="shared" si="3"/>
        <v>1.975287508</v>
      </c>
      <c r="G158" s="11">
        <f t="shared" si="4"/>
        <v>64.32</v>
      </c>
      <c r="H158" s="10">
        <f t="shared" si="5"/>
        <v>60.213</v>
      </c>
      <c r="I158" s="10">
        <f t="shared" si="6"/>
        <v>9.49</v>
      </c>
      <c r="J158" s="12">
        <f t="shared" si="7"/>
        <v>14.754</v>
      </c>
      <c r="K158" s="13">
        <f t="shared" si="8"/>
        <v>0.872</v>
      </c>
      <c r="L158" s="10">
        <f t="shared" si="9"/>
        <v>0.174</v>
      </c>
      <c r="M158" s="10">
        <f t="shared" si="10"/>
        <v>0.02743024832</v>
      </c>
      <c r="N158" s="14">
        <f t="shared" si="11"/>
        <v>3.15</v>
      </c>
      <c r="O158" s="9">
        <f t="shared" si="12"/>
        <v>539</v>
      </c>
      <c r="P158" s="9">
        <f t="shared" si="13"/>
        <v>29.13</v>
      </c>
    </row>
    <row r="159">
      <c r="A159" s="8">
        <v>158.0</v>
      </c>
      <c r="B159" s="8">
        <v>0.001</v>
      </c>
      <c r="C159" s="8">
        <v>0.133</v>
      </c>
      <c r="D159" s="9">
        <f t="shared" si="1"/>
        <v>35.68</v>
      </c>
      <c r="E159" s="9">
        <f t="shared" si="2"/>
        <v>0.71</v>
      </c>
      <c r="F159" s="10">
        <f t="shared" si="3"/>
        <v>1.975189163</v>
      </c>
      <c r="G159" s="11">
        <f t="shared" si="4"/>
        <v>64.14</v>
      </c>
      <c r="H159" s="10">
        <f t="shared" si="5"/>
        <v>60.064</v>
      </c>
      <c r="I159" s="10">
        <f t="shared" si="6"/>
        <v>9.44</v>
      </c>
      <c r="J159" s="12">
        <f t="shared" si="7"/>
        <v>14.718</v>
      </c>
      <c r="K159" s="13">
        <f t="shared" si="8"/>
        <v>0.871</v>
      </c>
      <c r="L159" s="10">
        <f t="shared" si="9"/>
        <v>0.174</v>
      </c>
      <c r="M159" s="10">
        <f t="shared" si="10"/>
        <v>0.0273419446</v>
      </c>
      <c r="N159" s="14">
        <f t="shared" si="11"/>
        <v>3.14</v>
      </c>
      <c r="O159" s="9">
        <f t="shared" si="12"/>
        <v>539</v>
      </c>
      <c r="P159" s="9">
        <f t="shared" si="13"/>
        <v>29.31</v>
      </c>
    </row>
    <row r="160">
      <c r="A160" s="8">
        <v>159.0</v>
      </c>
      <c r="B160" s="15">
        <v>6.429E-4</v>
      </c>
      <c r="C160" s="8">
        <v>0.092</v>
      </c>
      <c r="D160" s="9">
        <f t="shared" si="1"/>
        <v>28.61</v>
      </c>
      <c r="E160" s="16">
        <f t="shared" si="2"/>
        <v>0.95</v>
      </c>
      <c r="F160" s="10">
        <f t="shared" si="3"/>
        <v>1.975092073</v>
      </c>
      <c r="G160" s="11">
        <f t="shared" si="4"/>
        <v>63.92</v>
      </c>
      <c r="H160" s="10">
        <f t="shared" si="5"/>
        <v>59.94</v>
      </c>
      <c r="I160" s="10">
        <f t="shared" si="6"/>
        <v>9.39</v>
      </c>
      <c r="J160" s="12">
        <f t="shared" si="7"/>
        <v>14.69</v>
      </c>
      <c r="K160" s="13">
        <f t="shared" si="8"/>
        <v>0.871</v>
      </c>
      <c r="L160" s="10">
        <f t="shared" si="9"/>
        <v>0.173</v>
      </c>
      <c r="M160" s="10">
        <f t="shared" si="10"/>
        <v>0.02709785327</v>
      </c>
      <c r="N160" s="14">
        <f t="shared" si="11"/>
        <v>3.11</v>
      </c>
      <c r="O160" s="9">
        <f t="shared" si="12"/>
        <v>539</v>
      </c>
      <c r="P160" s="9">
        <f t="shared" si="13"/>
        <v>29.5</v>
      </c>
    </row>
    <row r="161">
      <c r="A161" s="8">
        <v>160.0</v>
      </c>
      <c r="B161" s="8">
        <v>0.013</v>
      </c>
      <c r="C161" s="8">
        <v>0.503</v>
      </c>
      <c r="D161" s="9">
        <f t="shared" si="1"/>
        <v>128.66</v>
      </c>
      <c r="E161" s="9">
        <f t="shared" si="2"/>
        <v>0.65</v>
      </c>
      <c r="F161" s="10">
        <f t="shared" si="3"/>
        <v>1.974996213</v>
      </c>
      <c r="G161" s="11">
        <f t="shared" si="4"/>
        <v>64.32</v>
      </c>
      <c r="H161" s="10">
        <f t="shared" si="5"/>
        <v>59.97</v>
      </c>
      <c r="I161" s="10">
        <f t="shared" si="6"/>
        <v>9.36</v>
      </c>
      <c r="J161" s="12">
        <f t="shared" si="7"/>
        <v>14.552</v>
      </c>
      <c r="K161" s="13">
        <f t="shared" si="8"/>
        <v>0.87</v>
      </c>
      <c r="L161" s="10">
        <f t="shared" si="9"/>
        <v>0.173</v>
      </c>
      <c r="M161" s="10">
        <f t="shared" si="10"/>
        <v>0.02701172869</v>
      </c>
      <c r="N161" s="14">
        <f t="shared" si="11"/>
        <v>3.1</v>
      </c>
      <c r="O161" s="9">
        <f t="shared" si="12"/>
        <v>539</v>
      </c>
      <c r="P161" s="9">
        <f t="shared" si="13"/>
        <v>29.68</v>
      </c>
    </row>
    <row r="162">
      <c r="A162" s="8">
        <v>161.0</v>
      </c>
      <c r="B162" s="8">
        <v>0.002</v>
      </c>
      <c r="C162" s="8">
        <v>0.179</v>
      </c>
      <c r="D162" s="9">
        <f t="shared" si="1"/>
        <v>50.46</v>
      </c>
      <c r="E162" s="9">
        <f t="shared" si="2"/>
        <v>0.78</v>
      </c>
      <c r="F162" s="10">
        <f t="shared" si="3"/>
        <v>1.97490156</v>
      </c>
      <c r="G162" s="11">
        <f t="shared" si="4"/>
        <v>64.24</v>
      </c>
      <c r="H162" s="10">
        <f t="shared" si="5"/>
        <v>59.792</v>
      </c>
      <c r="I162" s="10">
        <f t="shared" si="6"/>
        <v>9.31</v>
      </c>
      <c r="J162" s="12">
        <f t="shared" si="7"/>
        <v>14.493</v>
      </c>
      <c r="K162" s="13">
        <f t="shared" si="8"/>
        <v>0.869</v>
      </c>
      <c r="L162" s="10">
        <f t="shared" si="9"/>
        <v>0.173</v>
      </c>
      <c r="M162" s="10">
        <f t="shared" si="10"/>
        <v>0.02692642014</v>
      </c>
      <c r="N162" s="14">
        <f t="shared" si="11"/>
        <v>3.1</v>
      </c>
      <c r="O162" s="9">
        <f t="shared" si="12"/>
        <v>539</v>
      </c>
      <c r="P162" s="9">
        <f t="shared" si="13"/>
        <v>29.87</v>
      </c>
    </row>
    <row r="163">
      <c r="A163" s="8">
        <v>162.0</v>
      </c>
      <c r="B163" s="15">
        <v>9.485E-4</v>
      </c>
      <c r="C163" s="8">
        <v>0.113</v>
      </c>
      <c r="D163" s="9">
        <f t="shared" si="1"/>
        <v>34.75</v>
      </c>
      <c r="E163" s="16">
        <f t="shared" si="2"/>
        <v>0.93</v>
      </c>
      <c r="F163" s="10">
        <f t="shared" si="3"/>
        <v>1.974808092</v>
      </c>
      <c r="G163" s="11">
        <f t="shared" si="4"/>
        <v>64.05</v>
      </c>
      <c r="H163" s="10">
        <f t="shared" si="5"/>
        <v>59.651</v>
      </c>
      <c r="I163" s="10">
        <f t="shared" si="6"/>
        <v>9.26</v>
      </c>
      <c r="J163" s="12">
        <f t="shared" si="7"/>
        <v>14.457</v>
      </c>
      <c r="K163" s="13">
        <f t="shared" si="8"/>
        <v>0.87</v>
      </c>
      <c r="L163" s="10">
        <f t="shared" si="9"/>
        <v>0.173</v>
      </c>
      <c r="M163" s="10">
        <f t="shared" si="10"/>
        <v>0.02684191483</v>
      </c>
      <c r="N163" s="14">
        <f t="shared" si="11"/>
        <v>3.09</v>
      </c>
      <c r="O163" s="9">
        <f t="shared" si="12"/>
        <v>539</v>
      </c>
      <c r="P163" s="9">
        <f t="shared" si="13"/>
        <v>30.06</v>
      </c>
    </row>
    <row r="164">
      <c r="A164" s="8">
        <v>163.0</v>
      </c>
      <c r="B164" s="8">
        <v>0.002</v>
      </c>
      <c r="C164" s="8">
        <v>0.166</v>
      </c>
      <c r="D164" s="9">
        <f t="shared" si="1"/>
        <v>50.46</v>
      </c>
      <c r="E164" s="9">
        <f t="shared" si="2"/>
        <v>0.91</v>
      </c>
      <c r="F164" s="10">
        <f t="shared" si="3"/>
        <v>1.974715786</v>
      </c>
      <c r="G164" s="11">
        <f t="shared" si="4"/>
        <v>63.97</v>
      </c>
      <c r="H164" s="10">
        <f t="shared" si="5"/>
        <v>59.476</v>
      </c>
      <c r="I164" s="10">
        <f t="shared" si="6"/>
        <v>9.2</v>
      </c>
      <c r="J164" s="12">
        <f t="shared" si="7"/>
        <v>14.382</v>
      </c>
      <c r="K164" s="13">
        <f t="shared" si="8"/>
        <v>0.87</v>
      </c>
      <c r="L164" s="10">
        <f t="shared" si="9"/>
        <v>0.172</v>
      </c>
      <c r="M164" s="10">
        <f t="shared" si="10"/>
        <v>0.02660352853</v>
      </c>
      <c r="N164" s="14">
        <f t="shared" si="11"/>
        <v>3.06</v>
      </c>
      <c r="O164" s="9">
        <f t="shared" si="12"/>
        <v>539</v>
      </c>
      <c r="P164" s="9">
        <f t="shared" si="13"/>
        <v>30.24</v>
      </c>
    </row>
    <row r="165">
      <c r="A165" s="8">
        <v>164.0</v>
      </c>
      <c r="B165" s="15">
        <v>6.175E-4</v>
      </c>
      <c r="C165" s="8">
        <v>0.089</v>
      </c>
      <c r="D165" s="9">
        <f t="shared" si="1"/>
        <v>28.04</v>
      </c>
      <c r="E165" s="16">
        <f t="shared" si="2"/>
        <v>0.98</v>
      </c>
      <c r="F165" s="10">
        <f t="shared" si="3"/>
        <v>1.974624621</v>
      </c>
      <c r="G165" s="11">
        <f t="shared" si="4"/>
        <v>63.75</v>
      </c>
      <c r="H165" s="10">
        <f t="shared" si="5"/>
        <v>59.36</v>
      </c>
      <c r="I165" s="10">
        <f t="shared" si="6"/>
        <v>9.15</v>
      </c>
      <c r="J165" s="12">
        <f t="shared" si="7"/>
        <v>14.353</v>
      </c>
      <c r="K165" s="13">
        <f t="shared" si="8"/>
        <v>0.87</v>
      </c>
      <c r="L165" s="10">
        <f t="shared" si="9"/>
        <v>0.172</v>
      </c>
      <c r="M165" s="10">
        <f t="shared" si="10"/>
        <v>0.02652107176</v>
      </c>
      <c r="N165" s="14">
        <f t="shared" si="11"/>
        <v>3.05</v>
      </c>
      <c r="O165" s="9">
        <f t="shared" si="12"/>
        <v>539</v>
      </c>
      <c r="P165" s="9">
        <f t="shared" si="13"/>
        <v>30.43</v>
      </c>
    </row>
    <row r="166">
      <c r="A166" s="8">
        <v>165.0</v>
      </c>
      <c r="B166" s="8">
        <v>0.009</v>
      </c>
      <c r="C166" s="8">
        <v>0.474</v>
      </c>
      <c r="D166" s="9">
        <f t="shared" si="1"/>
        <v>107.05</v>
      </c>
      <c r="E166" s="9">
        <f t="shared" si="2"/>
        <v>0.5</v>
      </c>
      <c r="F166" s="10">
        <f t="shared" si="3"/>
        <v>1.974534576</v>
      </c>
      <c r="G166" s="11">
        <f t="shared" si="4"/>
        <v>64.01</v>
      </c>
      <c r="H166" s="10">
        <f t="shared" si="5"/>
        <v>59.275</v>
      </c>
      <c r="I166" s="10">
        <f t="shared" si="6"/>
        <v>9.11</v>
      </c>
      <c r="J166" s="12">
        <f t="shared" si="7"/>
        <v>14.232</v>
      </c>
      <c r="K166" s="13">
        <f t="shared" si="8"/>
        <v>0.868</v>
      </c>
      <c r="L166" s="10">
        <f t="shared" si="9"/>
        <v>0.174</v>
      </c>
      <c r="M166" s="10">
        <f t="shared" si="10"/>
        <v>0.02674681164</v>
      </c>
      <c r="N166" s="14">
        <f t="shared" si="11"/>
        <v>3.08</v>
      </c>
      <c r="O166" s="9">
        <f t="shared" si="12"/>
        <v>539</v>
      </c>
      <c r="P166" s="9">
        <f t="shared" si="13"/>
        <v>30.61</v>
      </c>
    </row>
    <row r="167">
      <c r="A167" s="8">
        <v>166.0</v>
      </c>
      <c r="B167" s="8">
        <v>0.002</v>
      </c>
      <c r="C167" s="8">
        <v>0.153</v>
      </c>
      <c r="D167" s="9">
        <f t="shared" si="1"/>
        <v>50.46</v>
      </c>
      <c r="E167" s="9">
        <f t="shared" si="2"/>
        <v>1.07</v>
      </c>
      <c r="F167" s="10">
        <f t="shared" si="3"/>
        <v>1.97444563</v>
      </c>
      <c r="G167" s="11">
        <f t="shared" si="4"/>
        <v>63.93</v>
      </c>
      <c r="H167" s="10">
        <f t="shared" si="5"/>
        <v>59.104</v>
      </c>
      <c r="I167" s="10">
        <f t="shared" si="6"/>
        <v>9.06</v>
      </c>
      <c r="J167" s="12">
        <f t="shared" si="7"/>
        <v>14.172</v>
      </c>
      <c r="K167" s="13">
        <f t="shared" si="8"/>
        <v>0.869</v>
      </c>
      <c r="L167" s="10">
        <f t="shared" si="9"/>
        <v>0.174</v>
      </c>
      <c r="M167" s="10">
        <f t="shared" si="10"/>
        <v>0.02666492604</v>
      </c>
      <c r="N167" s="14">
        <f t="shared" si="11"/>
        <v>3.07</v>
      </c>
      <c r="O167" s="9">
        <f t="shared" si="12"/>
        <v>539</v>
      </c>
      <c r="P167" s="9">
        <f t="shared" si="13"/>
        <v>30.8</v>
      </c>
    </row>
    <row r="168">
      <c r="A168" s="8">
        <v>167.0</v>
      </c>
      <c r="B168" s="8">
        <v>0.003</v>
      </c>
      <c r="C168" s="8">
        <v>0.217</v>
      </c>
      <c r="D168" s="9">
        <f t="shared" si="1"/>
        <v>61.8</v>
      </c>
      <c r="E168" s="9">
        <f t="shared" si="2"/>
        <v>0.8</v>
      </c>
      <c r="F168" s="10">
        <f t="shared" si="3"/>
        <v>1.974357764</v>
      </c>
      <c r="G168" s="11">
        <f t="shared" si="4"/>
        <v>63.92</v>
      </c>
      <c r="H168" s="10">
        <f t="shared" si="5"/>
        <v>58.926</v>
      </c>
      <c r="I168" s="10">
        <f t="shared" si="6"/>
        <v>9</v>
      </c>
      <c r="J168" s="12">
        <f t="shared" si="7"/>
        <v>14.08</v>
      </c>
      <c r="K168" s="13">
        <f t="shared" si="8"/>
        <v>0.869</v>
      </c>
      <c r="L168" s="10">
        <f t="shared" si="9"/>
        <v>0.173</v>
      </c>
      <c r="M168" s="10">
        <f t="shared" si="10"/>
        <v>0.02643100759</v>
      </c>
      <c r="N168" s="14">
        <f t="shared" si="11"/>
        <v>3.04</v>
      </c>
      <c r="O168" s="9">
        <f t="shared" si="12"/>
        <v>539</v>
      </c>
      <c r="P168" s="9">
        <f t="shared" si="13"/>
        <v>30.98</v>
      </c>
    </row>
    <row r="169">
      <c r="A169" s="8">
        <v>168.0</v>
      </c>
      <c r="B169" s="15">
        <v>1.719E-4</v>
      </c>
      <c r="C169" s="8">
        <v>0.046</v>
      </c>
      <c r="D169" s="9">
        <f t="shared" si="1"/>
        <v>14.79</v>
      </c>
      <c r="E169" s="16">
        <f t="shared" si="2"/>
        <v>1.02</v>
      </c>
      <c r="F169" s="10">
        <f t="shared" si="3"/>
        <v>1.974270957</v>
      </c>
      <c r="G169" s="11">
        <f t="shared" si="4"/>
        <v>63.63</v>
      </c>
      <c r="H169" s="10">
        <f t="shared" si="5"/>
        <v>58.871</v>
      </c>
      <c r="I169" s="10">
        <f t="shared" si="6"/>
        <v>8.97</v>
      </c>
      <c r="J169" s="12">
        <f t="shared" si="7"/>
        <v>14.097</v>
      </c>
      <c r="K169" s="13">
        <f t="shared" si="8"/>
        <v>0.87</v>
      </c>
      <c r="L169" s="10">
        <f t="shared" si="9"/>
        <v>0.173</v>
      </c>
      <c r="M169" s="10">
        <f t="shared" si="10"/>
        <v>0.02635106784</v>
      </c>
      <c r="N169" s="14">
        <f t="shared" si="11"/>
        <v>3.03</v>
      </c>
      <c r="O169" s="9">
        <f t="shared" si="12"/>
        <v>539</v>
      </c>
      <c r="P169" s="9">
        <f t="shared" si="13"/>
        <v>31.17</v>
      </c>
    </row>
    <row r="170">
      <c r="A170" s="8">
        <v>169.0</v>
      </c>
      <c r="B170" s="8">
        <v>0.002</v>
      </c>
      <c r="C170" s="8">
        <v>0.146</v>
      </c>
      <c r="D170" s="9">
        <f t="shared" si="1"/>
        <v>50.46</v>
      </c>
      <c r="E170" s="9">
        <f t="shared" si="2"/>
        <v>1.18</v>
      </c>
      <c r="F170" s="10">
        <f t="shared" si="3"/>
        <v>1.974185191</v>
      </c>
      <c r="G170" s="11">
        <f t="shared" si="4"/>
        <v>63.55</v>
      </c>
      <c r="H170" s="10">
        <f t="shared" si="5"/>
        <v>58.705</v>
      </c>
      <c r="I170" s="10">
        <f t="shared" si="6"/>
        <v>8.91</v>
      </c>
      <c r="J170" s="12">
        <f t="shared" si="7"/>
        <v>14.02</v>
      </c>
      <c r="K170" s="13">
        <f t="shared" si="8"/>
        <v>0.872</v>
      </c>
      <c r="L170" s="10">
        <f t="shared" si="9"/>
        <v>0.174</v>
      </c>
      <c r="M170" s="10">
        <f t="shared" si="10"/>
        <v>0.02642370948</v>
      </c>
      <c r="N170" s="14">
        <f t="shared" si="11"/>
        <v>3.03</v>
      </c>
      <c r="O170" s="9">
        <f t="shared" si="12"/>
        <v>539</v>
      </c>
      <c r="P170" s="9">
        <f t="shared" si="13"/>
        <v>31.35</v>
      </c>
    </row>
    <row r="171">
      <c r="A171" s="8">
        <v>170.0</v>
      </c>
      <c r="B171" s="15">
        <v>0.002</v>
      </c>
      <c r="C171" s="8">
        <v>0.174</v>
      </c>
      <c r="D171" s="9">
        <f t="shared" si="1"/>
        <v>50.46</v>
      </c>
      <c r="E171" s="16">
        <f t="shared" si="2"/>
        <v>0.83</v>
      </c>
      <c r="F171" s="10">
        <f t="shared" si="3"/>
        <v>1.974100447</v>
      </c>
      <c r="G171" s="11">
        <f t="shared" si="4"/>
        <v>63.47</v>
      </c>
      <c r="H171" s="10">
        <f t="shared" si="5"/>
        <v>58.539</v>
      </c>
      <c r="I171" s="10">
        <f t="shared" si="6"/>
        <v>8.86</v>
      </c>
      <c r="J171" s="12">
        <f t="shared" si="7"/>
        <v>13.959</v>
      </c>
      <c r="K171" s="13">
        <f t="shared" si="8"/>
        <v>0.872</v>
      </c>
      <c r="L171" s="10">
        <f t="shared" si="9"/>
        <v>0.174</v>
      </c>
      <c r="M171" s="10">
        <f t="shared" si="10"/>
        <v>0.02634474714</v>
      </c>
      <c r="N171" s="14">
        <f t="shared" si="11"/>
        <v>3.02</v>
      </c>
      <c r="O171" s="9">
        <f t="shared" si="12"/>
        <v>539</v>
      </c>
      <c r="P171" s="9">
        <f t="shared" si="13"/>
        <v>31.54</v>
      </c>
    </row>
    <row r="172">
      <c r="A172" s="8">
        <v>171.0</v>
      </c>
      <c r="B172" s="8">
        <v>0.002</v>
      </c>
      <c r="C172" s="8">
        <v>0.154</v>
      </c>
      <c r="D172" s="9">
        <f t="shared" si="1"/>
        <v>50.46</v>
      </c>
      <c r="E172" s="9">
        <f t="shared" si="2"/>
        <v>1.06</v>
      </c>
      <c r="F172" s="10">
        <f t="shared" si="3"/>
        <v>1.974016708</v>
      </c>
      <c r="G172" s="11">
        <f t="shared" si="4"/>
        <v>63.4</v>
      </c>
      <c r="H172" s="10">
        <f t="shared" si="5"/>
        <v>58.375</v>
      </c>
      <c r="I172" s="10">
        <f t="shared" si="6"/>
        <v>8.81</v>
      </c>
      <c r="J172" s="12">
        <f t="shared" si="7"/>
        <v>13.896</v>
      </c>
      <c r="K172" s="13">
        <f t="shared" si="8"/>
        <v>0.873</v>
      </c>
      <c r="L172" s="10">
        <f t="shared" si="9"/>
        <v>0.174</v>
      </c>
      <c r="M172" s="10">
        <f t="shared" si="10"/>
        <v>0.02626648852</v>
      </c>
      <c r="N172" s="14">
        <f t="shared" si="11"/>
        <v>3.01</v>
      </c>
      <c r="O172" s="9">
        <f t="shared" si="12"/>
        <v>539</v>
      </c>
      <c r="P172" s="9">
        <f t="shared" si="13"/>
        <v>31.73</v>
      </c>
    </row>
    <row r="173">
      <c r="A173" s="8">
        <v>172.0</v>
      </c>
      <c r="B173" s="8">
        <v>0.001</v>
      </c>
      <c r="C173" s="8">
        <v>0.141</v>
      </c>
      <c r="D173" s="9">
        <f t="shared" si="1"/>
        <v>35.68</v>
      </c>
      <c r="E173" s="9">
        <f t="shared" si="2"/>
        <v>0.63</v>
      </c>
      <c r="F173" s="10">
        <f t="shared" si="3"/>
        <v>1.973933954</v>
      </c>
      <c r="G173" s="11">
        <f t="shared" si="4"/>
        <v>63.24</v>
      </c>
      <c r="H173" s="10">
        <f t="shared" si="5"/>
        <v>58.243</v>
      </c>
      <c r="I173" s="10">
        <f t="shared" si="6"/>
        <v>8.77</v>
      </c>
      <c r="J173" s="12">
        <f t="shared" si="7"/>
        <v>13.868</v>
      </c>
      <c r="K173" s="13">
        <f t="shared" si="8"/>
        <v>0.871</v>
      </c>
      <c r="L173" s="10">
        <f t="shared" si="9"/>
        <v>0.174</v>
      </c>
      <c r="M173" s="10">
        <f t="shared" si="10"/>
        <v>0.02618892322</v>
      </c>
      <c r="N173" s="14">
        <f t="shared" si="11"/>
        <v>3.01</v>
      </c>
      <c r="O173" s="9">
        <f t="shared" si="12"/>
        <v>539</v>
      </c>
      <c r="P173" s="9">
        <f t="shared" si="13"/>
        <v>31.91</v>
      </c>
    </row>
    <row r="174">
      <c r="A174" s="8">
        <v>173.0</v>
      </c>
      <c r="B174" s="8">
        <v>0.002</v>
      </c>
      <c r="C174" s="8">
        <v>0.181</v>
      </c>
      <c r="D174" s="9">
        <f t="shared" si="1"/>
        <v>50.46</v>
      </c>
      <c r="E174" s="9">
        <f t="shared" si="2"/>
        <v>0.77</v>
      </c>
      <c r="F174" s="10">
        <f t="shared" si="3"/>
        <v>1.973852169</v>
      </c>
      <c r="G174" s="11">
        <f t="shared" si="4"/>
        <v>63.16</v>
      </c>
      <c r="H174" s="10">
        <f t="shared" si="5"/>
        <v>58.081</v>
      </c>
      <c r="I174" s="10">
        <f t="shared" si="6"/>
        <v>8.72</v>
      </c>
      <c r="J174" s="12">
        <f t="shared" si="7"/>
        <v>13.806</v>
      </c>
      <c r="K174" s="13">
        <f t="shared" si="8"/>
        <v>0.871</v>
      </c>
      <c r="L174" s="10">
        <f t="shared" si="9"/>
        <v>0.174</v>
      </c>
      <c r="M174" s="10">
        <f t="shared" si="10"/>
        <v>0.02611204106</v>
      </c>
      <c r="N174" s="14">
        <f t="shared" si="11"/>
        <v>3</v>
      </c>
      <c r="O174" s="9">
        <f t="shared" si="12"/>
        <v>539</v>
      </c>
      <c r="P174" s="9">
        <f t="shared" si="13"/>
        <v>32.1</v>
      </c>
    </row>
    <row r="175">
      <c r="A175" s="8">
        <v>174.0</v>
      </c>
      <c r="B175" s="8">
        <v>0.001</v>
      </c>
      <c r="C175" s="8">
        <v>0.135</v>
      </c>
      <c r="D175" s="9">
        <f t="shared" si="1"/>
        <v>35.68</v>
      </c>
      <c r="E175" s="9">
        <f t="shared" si="2"/>
        <v>0.69</v>
      </c>
      <c r="F175" s="10">
        <f t="shared" si="3"/>
        <v>1.973771337</v>
      </c>
      <c r="G175" s="11">
        <f t="shared" si="4"/>
        <v>63</v>
      </c>
      <c r="H175" s="10">
        <f t="shared" si="5"/>
        <v>57.951</v>
      </c>
      <c r="I175" s="10">
        <f t="shared" si="6"/>
        <v>8.67</v>
      </c>
      <c r="J175" s="12">
        <f t="shared" si="7"/>
        <v>13.762</v>
      </c>
      <c r="K175" s="13">
        <f t="shared" si="8"/>
        <v>0.87</v>
      </c>
      <c r="L175" s="10">
        <f t="shared" si="9"/>
        <v>0.174</v>
      </c>
      <c r="M175" s="10">
        <f t="shared" si="10"/>
        <v>0.02603583209</v>
      </c>
      <c r="N175" s="14">
        <f t="shared" si="11"/>
        <v>2.99</v>
      </c>
      <c r="O175" s="9">
        <f t="shared" si="12"/>
        <v>539</v>
      </c>
      <c r="P175" s="9">
        <f t="shared" si="13"/>
        <v>32.28</v>
      </c>
    </row>
    <row r="176">
      <c r="A176" s="8">
        <v>175.0</v>
      </c>
      <c r="B176" s="15">
        <v>5.602E-4</v>
      </c>
      <c r="C176" s="8">
        <v>0.085</v>
      </c>
      <c r="D176" s="9">
        <f t="shared" si="1"/>
        <v>26.71</v>
      </c>
      <c r="E176" s="16">
        <f t="shared" si="2"/>
        <v>0.97</v>
      </c>
      <c r="F176" s="10">
        <f t="shared" si="3"/>
        <v>1.97369144</v>
      </c>
      <c r="G176" s="11">
        <f t="shared" si="4"/>
        <v>62.8</v>
      </c>
      <c r="H176" s="10">
        <f t="shared" si="5"/>
        <v>57.849</v>
      </c>
      <c r="I176" s="10">
        <f t="shared" si="6"/>
        <v>8.63</v>
      </c>
      <c r="J176" s="12">
        <f t="shared" si="7"/>
        <v>13.742</v>
      </c>
      <c r="K176" s="13">
        <f t="shared" si="8"/>
        <v>0.87</v>
      </c>
      <c r="L176" s="10">
        <f t="shared" si="9"/>
        <v>0.174</v>
      </c>
      <c r="M176" s="10">
        <f t="shared" si="10"/>
        <v>0.02596028652</v>
      </c>
      <c r="N176" s="14">
        <f t="shared" si="11"/>
        <v>2.98</v>
      </c>
      <c r="O176" s="9">
        <f t="shared" si="12"/>
        <v>539</v>
      </c>
      <c r="P176" s="9">
        <f t="shared" si="13"/>
        <v>32.47</v>
      </c>
    </row>
    <row r="177">
      <c r="A177" s="8">
        <v>176.0</v>
      </c>
      <c r="B177" s="15">
        <v>4.711E-4</v>
      </c>
      <c r="C177" s="8">
        <v>0.077</v>
      </c>
      <c r="D177" s="9">
        <f t="shared" si="1"/>
        <v>24.49</v>
      </c>
      <c r="E177" s="16">
        <f t="shared" si="2"/>
        <v>1</v>
      </c>
      <c r="F177" s="10">
        <f t="shared" si="3"/>
        <v>1.973612462</v>
      </c>
      <c r="G177" s="11">
        <f t="shared" si="4"/>
        <v>62.58</v>
      </c>
      <c r="H177" s="10">
        <f t="shared" si="5"/>
        <v>57.756</v>
      </c>
      <c r="I177" s="10">
        <f t="shared" si="6"/>
        <v>8.59</v>
      </c>
      <c r="J177" s="12">
        <f t="shared" si="7"/>
        <v>13.726</v>
      </c>
      <c r="K177" s="13">
        <f t="shared" si="8"/>
        <v>0.871</v>
      </c>
      <c r="L177" s="10">
        <f t="shared" si="9"/>
        <v>0.174</v>
      </c>
      <c r="M177" s="10">
        <f t="shared" si="10"/>
        <v>0.0258853948</v>
      </c>
      <c r="N177" s="14">
        <f t="shared" si="11"/>
        <v>2.97</v>
      </c>
      <c r="O177" s="9">
        <f t="shared" si="12"/>
        <v>539</v>
      </c>
      <c r="P177" s="9">
        <f t="shared" si="13"/>
        <v>32.65</v>
      </c>
    </row>
    <row r="178">
      <c r="A178" s="8">
        <v>177.0</v>
      </c>
      <c r="B178" s="15">
        <v>2.483E-4</v>
      </c>
      <c r="C178" s="8">
        <v>0.054</v>
      </c>
      <c r="D178" s="9">
        <f t="shared" si="1"/>
        <v>17.78</v>
      </c>
      <c r="E178" s="16">
        <f t="shared" si="2"/>
        <v>1.07</v>
      </c>
      <c r="F178" s="10">
        <f t="shared" si="3"/>
        <v>1.973534388</v>
      </c>
      <c r="G178" s="11">
        <f t="shared" si="4"/>
        <v>62.33</v>
      </c>
      <c r="H178" s="10">
        <f t="shared" si="5"/>
        <v>57.69</v>
      </c>
      <c r="I178" s="10">
        <f t="shared" si="6"/>
        <v>8.56</v>
      </c>
      <c r="J178" s="12">
        <f t="shared" si="7"/>
        <v>13.733</v>
      </c>
      <c r="K178" s="13">
        <f t="shared" si="8"/>
        <v>0.872</v>
      </c>
      <c r="L178" s="10">
        <f t="shared" si="9"/>
        <v>0.174</v>
      </c>
      <c r="M178" s="10">
        <f t="shared" si="10"/>
        <v>0.02581114754</v>
      </c>
      <c r="N178" s="14">
        <f t="shared" si="11"/>
        <v>2.96</v>
      </c>
      <c r="O178" s="9">
        <f t="shared" si="12"/>
        <v>539</v>
      </c>
      <c r="P178" s="9">
        <f t="shared" si="13"/>
        <v>32.84</v>
      </c>
    </row>
    <row r="179">
      <c r="A179" s="8">
        <v>178.0</v>
      </c>
      <c r="B179" s="8">
        <v>0.001</v>
      </c>
      <c r="C179" s="8">
        <v>0.117</v>
      </c>
      <c r="D179" s="9">
        <f t="shared" si="1"/>
        <v>35.68</v>
      </c>
      <c r="E179" s="9">
        <f t="shared" si="2"/>
        <v>0.92</v>
      </c>
      <c r="F179" s="10">
        <f t="shared" si="3"/>
        <v>1.973457202</v>
      </c>
      <c r="G179" s="11">
        <f t="shared" si="4"/>
        <v>62.18</v>
      </c>
      <c r="H179" s="10">
        <f t="shared" si="5"/>
        <v>57.561</v>
      </c>
      <c r="I179" s="10">
        <f t="shared" si="6"/>
        <v>8.51</v>
      </c>
      <c r="J179" s="12">
        <f t="shared" si="7"/>
        <v>13.686</v>
      </c>
      <c r="K179" s="13">
        <f t="shared" si="8"/>
        <v>0.872</v>
      </c>
      <c r="L179" s="10">
        <f t="shared" si="9"/>
        <v>0.173</v>
      </c>
      <c r="M179" s="10">
        <f t="shared" si="10"/>
        <v>0.02558961867</v>
      </c>
      <c r="N179" s="14">
        <f t="shared" si="11"/>
        <v>2.93</v>
      </c>
      <c r="O179" s="9">
        <f t="shared" si="12"/>
        <v>539</v>
      </c>
      <c r="P179" s="9">
        <f t="shared" si="13"/>
        <v>33.02</v>
      </c>
    </row>
    <row r="180">
      <c r="A180" s="8">
        <v>179.0</v>
      </c>
      <c r="B180" s="8">
        <v>0.002</v>
      </c>
      <c r="C180" s="8">
        <v>0.181</v>
      </c>
      <c r="D180" s="9">
        <f t="shared" si="1"/>
        <v>50.46</v>
      </c>
      <c r="E180" s="9">
        <f t="shared" si="2"/>
        <v>0.77</v>
      </c>
      <c r="F180" s="10">
        <f t="shared" si="3"/>
        <v>1.973380889</v>
      </c>
      <c r="G180" s="11">
        <f t="shared" si="4"/>
        <v>62.11</v>
      </c>
      <c r="H180" s="10">
        <f t="shared" si="5"/>
        <v>57.406</v>
      </c>
      <c r="I180" s="10">
        <f t="shared" si="6"/>
        <v>8.47</v>
      </c>
      <c r="J180" s="12">
        <f t="shared" si="7"/>
        <v>13.637</v>
      </c>
      <c r="K180" s="13">
        <f t="shared" si="8"/>
        <v>0.872</v>
      </c>
      <c r="L180" s="10">
        <f t="shared" si="9"/>
        <v>0.173</v>
      </c>
      <c r="M180" s="10">
        <f t="shared" si="10"/>
        <v>0.02551705241</v>
      </c>
      <c r="N180" s="14">
        <f t="shared" si="11"/>
        <v>2.93</v>
      </c>
      <c r="O180" s="9">
        <f t="shared" si="12"/>
        <v>539</v>
      </c>
      <c r="P180" s="9">
        <f t="shared" si="13"/>
        <v>33.21</v>
      </c>
    </row>
    <row r="181">
      <c r="A181" s="8">
        <v>180.0</v>
      </c>
      <c r="B181" s="15">
        <v>8.466E-4</v>
      </c>
      <c r="C181" s="8">
        <v>0.106</v>
      </c>
      <c r="D181" s="9">
        <f t="shared" si="1"/>
        <v>32.83</v>
      </c>
      <c r="E181" s="16">
        <f t="shared" si="2"/>
        <v>0.95</v>
      </c>
      <c r="F181" s="10">
        <f t="shared" si="3"/>
        <v>1.973305434</v>
      </c>
      <c r="G181" s="11">
        <f t="shared" si="4"/>
        <v>61.95</v>
      </c>
      <c r="H181" s="10">
        <f t="shared" si="5"/>
        <v>57.287</v>
      </c>
      <c r="I181" s="10">
        <f t="shared" si="6"/>
        <v>8.43</v>
      </c>
      <c r="J181" s="12">
        <f t="shared" si="7"/>
        <v>13.608</v>
      </c>
      <c r="K181" s="13">
        <f t="shared" si="8"/>
        <v>0.872</v>
      </c>
      <c r="L181" s="10">
        <f t="shared" si="9"/>
        <v>0.173</v>
      </c>
      <c r="M181" s="10">
        <f t="shared" si="10"/>
        <v>0.02544510002</v>
      </c>
      <c r="N181" s="14">
        <f t="shared" si="11"/>
        <v>2.92</v>
      </c>
      <c r="O181" s="9">
        <f t="shared" si="12"/>
        <v>539</v>
      </c>
      <c r="P181" s="9">
        <f t="shared" si="13"/>
        <v>33.4</v>
      </c>
    </row>
    <row r="182">
      <c r="A182" s="8">
        <v>181.0</v>
      </c>
      <c r="B182" s="8">
        <v>0.002</v>
      </c>
      <c r="C182" s="8">
        <v>0.149</v>
      </c>
      <c r="D182" s="9">
        <f t="shared" si="1"/>
        <v>50.46</v>
      </c>
      <c r="E182" s="9">
        <f t="shared" si="2"/>
        <v>1.13</v>
      </c>
      <c r="F182" s="10">
        <f t="shared" si="3"/>
        <v>1.973230823</v>
      </c>
      <c r="G182" s="11">
        <f t="shared" si="4"/>
        <v>61.88</v>
      </c>
      <c r="H182" s="10">
        <f t="shared" si="5"/>
        <v>57.134</v>
      </c>
      <c r="I182" s="10">
        <f t="shared" si="6"/>
        <v>8.38</v>
      </c>
      <c r="J182" s="12">
        <f t="shared" si="7"/>
        <v>13.542</v>
      </c>
      <c r="K182" s="13">
        <f t="shared" si="8"/>
        <v>0.874</v>
      </c>
      <c r="L182" s="10">
        <f t="shared" si="9"/>
        <v>0.173</v>
      </c>
      <c r="M182" s="10">
        <f t="shared" si="10"/>
        <v>0.02537375292</v>
      </c>
      <c r="N182" s="14">
        <f t="shared" si="11"/>
        <v>2.9</v>
      </c>
      <c r="O182" s="9">
        <f t="shared" si="12"/>
        <v>539</v>
      </c>
      <c r="P182" s="9">
        <f t="shared" si="13"/>
        <v>33.58</v>
      </c>
    </row>
    <row r="183">
      <c r="A183" s="8">
        <v>182.0</v>
      </c>
      <c r="B183" s="15">
        <v>0.002</v>
      </c>
      <c r="C183" s="8">
        <v>0.179</v>
      </c>
      <c r="D183" s="9">
        <f t="shared" si="1"/>
        <v>50.46</v>
      </c>
      <c r="E183" s="16">
        <f t="shared" si="2"/>
        <v>0.78</v>
      </c>
      <c r="F183" s="10">
        <f t="shared" si="3"/>
        <v>1.973157042</v>
      </c>
      <c r="G183" s="11">
        <f t="shared" si="4"/>
        <v>61.82</v>
      </c>
      <c r="H183" s="10">
        <f t="shared" si="5"/>
        <v>56.982</v>
      </c>
      <c r="I183" s="10">
        <f t="shared" si="6"/>
        <v>8.33</v>
      </c>
      <c r="J183" s="12">
        <f t="shared" si="7"/>
        <v>13.475</v>
      </c>
      <c r="K183" s="13">
        <f t="shared" si="8"/>
        <v>0.873</v>
      </c>
      <c r="L183" s="10">
        <f t="shared" si="9"/>
        <v>0.173</v>
      </c>
      <c r="M183" s="10">
        <f t="shared" si="10"/>
        <v>0.02530300265</v>
      </c>
      <c r="N183" s="14">
        <f t="shared" si="11"/>
        <v>2.9</v>
      </c>
      <c r="O183" s="9">
        <f t="shared" si="12"/>
        <v>539</v>
      </c>
      <c r="P183" s="9">
        <f t="shared" si="13"/>
        <v>33.77</v>
      </c>
    </row>
    <row r="184">
      <c r="A184" s="8">
        <v>183.0</v>
      </c>
      <c r="B184" s="15">
        <v>7.32E-4</v>
      </c>
      <c r="C184" s="8">
        <v>0.098</v>
      </c>
      <c r="D184" s="9">
        <f t="shared" si="1"/>
        <v>30.53</v>
      </c>
      <c r="E184" s="16">
        <f t="shared" si="2"/>
        <v>0.96</v>
      </c>
      <c r="F184" s="10">
        <f t="shared" si="3"/>
        <v>1.973084077</v>
      </c>
      <c r="G184" s="11">
        <f t="shared" si="4"/>
        <v>61.65</v>
      </c>
      <c r="H184" s="10">
        <f t="shared" si="5"/>
        <v>56.873</v>
      </c>
      <c r="I184" s="10">
        <f t="shared" si="6"/>
        <v>8.3</v>
      </c>
      <c r="J184" s="12">
        <f t="shared" si="7"/>
        <v>13.463</v>
      </c>
      <c r="K184" s="13">
        <f t="shared" si="8"/>
        <v>0.874</v>
      </c>
      <c r="L184" s="10">
        <f t="shared" si="9"/>
        <v>0.172</v>
      </c>
      <c r="M184" s="10">
        <f t="shared" si="10"/>
        <v>0.02508698637</v>
      </c>
      <c r="N184" s="14">
        <f t="shared" si="11"/>
        <v>2.87</v>
      </c>
      <c r="O184" s="9">
        <f t="shared" si="12"/>
        <v>539</v>
      </c>
      <c r="P184" s="9">
        <f t="shared" si="13"/>
        <v>33.95</v>
      </c>
    </row>
    <row r="185">
      <c r="A185" s="8">
        <v>184.0</v>
      </c>
      <c r="B185" s="15">
        <v>5.92E-4</v>
      </c>
      <c r="C185" s="8">
        <v>0.089</v>
      </c>
      <c r="D185" s="9">
        <f t="shared" si="1"/>
        <v>27.45</v>
      </c>
      <c r="E185" s="16">
        <f t="shared" si="2"/>
        <v>0.94</v>
      </c>
      <c r="F185" s="10">
        <f t="shared" si="3"/>
        <v>1.973011915</v>
      </c>
      <c r="G185" s="11">
        <f t="shared" si="4"/>
        <v>61.46</v>
      </c>
      <c r="H185" s="10">
        <f t="shared" si="5"/>
        <v>56.773</v>
      </c>
      <c r="I185" s="10">
        <f t="shared" si="6"/>
        <v>8.26</v>
      </c>
      <c r="J185" s="12">
        <f t="shared" si="7"/>
        <v>13.44</v>
      </c>
      <c r="K185" s="13">
        <f t="shared" si="8"/>
        <v>0.874</v>
      </c>
      <c r="L185" s="10">
        <f t="shared" si="9"/>
        <v>0.172</v>
      </c>
      <c r="M185" s="10">
        <f t="shared" si="10"/>
        <v>0.02501780732</v>
      </c>
      <c r="N185" s="14">
        <f t="shared" si="11"/>
        <v>2.86</v>
      </c>
      <c r="O185" s="9">
        <f t="shared" si="12"/>
        <v>539</v>
      </c>
      <c r="P185" s="9">
        <f t="shared" si="13"/>
        <v>34.14</v>
      </c>
    </row>
    <row r="186">
      <c r="A186" s="8">
        <v>185.0</v>
      </c>
      <c r="B186" s="8">
        <v>0.005</v>
      </c>
      <c r="C186" s="8">
        <v>0.29</v>
      </c>
      <c r="D186" s="9">
        <f t="shared" si="1"/>
        <v>79.79</v>
      </c>
      <c r="E186" s="9">
        <f t="shared" si="2"/>
        <v>0.75</v>
      </c>
      <c r="F186" s="10">
        <f t="shared" si="3"/>
        <v>1.972940542</v>
      </c>
      <c r="G186" s="11">
        <f t="shared" si="4"/>
        <v>61.56</v>
      </c>
      <c r="H186" s="10">
        <f t="shared" si="5"/>
        <v>56.635</v>
      </c>
      <c r="I186" s="10">
        <f t="shared" si="6"/>
        <v>8.22</v>
      </c>
      <c r="J186" s="12">
        <f t="shared" si="7"/>
        <v>13.353</v>
      </c>
      <c r="K186" s="13">
        <f t="shared" si="8"/>
        <v>0.873</v>
      </c>
      <c r="L186" s="10">
        <f t="shared" si="9"/>
        <v>0.172</v>
      </c>
      <c r="M186" s="10">
        <f t="shared" si="10"/>
        <v>0.02494919745</v>
      </c>
      <c r="N186" s="14">
        <f t="shared" si="11"/>
        <v>2.86</v>
      </c>
      <c r="O186" s="9">
        <f t="shared" si="12"/>
        <v>539</v>
      </c>
      <c r="P186" s="9">
        <f t="shared" si="13"/>
        <v>34.32</v>
      </c>
    </row>
    <row r="187">
      <c r="A187" s="8">
        <v>186.0</v>
      </c>
      <c r="B187" s="15">
        <v>8.212E-4</v>
      </c>
      <c r="C187" s="8">
        <v>0.106</v>
      </c>
      <c r="D187" s="9">
        <f t="shared" si="1"/>
        <v>32.34</v>
      </c>
      <c r="E187" s="16">
        <f t="shared" si="2"/>
        <v>0.92</v>
      </c>
      <c r="F187" s="10">
        <f t="shared" si="3"/>
        <v>1.972869946</v>
      </c>
      <c r="G187" s="11">
        <f t="shared" si="4"/>
        <v>61.41</v>
      </c>
      <c r="H187" s="10">
        <f t="shared" si="5"/>
        <v>56.522</v>
      </c>
      <c r="I187" s="10">
        <f t="shared" si="6"/>
        <v>8.18</v>
      </c>
      <c r="J187" s="12">
        <f t="shared" si="7"/>
        <v>13.32</v>
      </c>
      <c r="K187" s="13">
        <f t="shared" si="8"/>
        <v>0.873</v>
      </c>
      <c r="L187" s="10">
        <f t="shared" si="9"/>
        <v>0.171</v>
      </c>
      <c r="M187" s="10">
        <f t="shared" si="10"/>
        <v>0.02473649115</v>
      </c>
      <c r="N187" s="14">
        <f t="shared" si="11"/>
        <v>2.83</v>
      </c>
      <c r="O187" s="9">
        <f t="shared" si="12"/>
        <v>539</v>
      </c>
      <c r="P187" s="9">
        <f t="shared" si="13"/>
        <v>34.51</v>
      </c>
    </row>
    <row r="188">
      <c r="A188" s="8">
        <v>187.0</v>
      </c>
      <c r="B188" s="15">
        <v>6.111E-4</v>
      </c>
      <c r="C188" s="8">
        <v>0.09</v>
      </c>
      <c r="D188" s="9">
        <f t="shared" si="1"/>
        <v>27.89</v>
      </c>
      <c r="E188" s="16">
        <f t="shared" si="2"/>
        <v>0.95</v>
      </c>
      <c r="F188" s="10">
        <f t="shared" si="3"/>
        <v>1.972800114</v>
      </c>
      <c r="G188" s="11">
        <f t="shared" si="4"/>
        <v>61.23</v>
      </c>
      <c r="H188" s="10">
        <f t="shared" si="5"/>
        <v>56.423</v>
      </c>
      <c r="I188" s="10">
        <f t="shared" si="6"/>
        <v>8.14</v>
      </c>
      <c r="J188" s="12">
        <f t="shared" si="7"/>
        <v>13.294</v>
      </c>
      <c r="K188" s="13">
        <f t="shared" si="8"/>
        <v>0.874</v>
      </c>
      <c r="L188" s="10">
        <f t="shared" si="9"/>
        <v>0.171</v>
      </c>
      <c r="M188" s="10">
        <f t="shared" si="10"/>
        <v>0.0246693889</v>
      </c>
      <c r="N188" s="14">
        <f t="shared" si="11"/>
        <v>2.82</v>
      </c>
      <c r="O188" s="9">
        <f t="shared" si="12"/>
        <v>539</v>
      </c>
      <c r="P188" s="9">
        <f t="shared" si="13"/>
        <v>34.69</v>
      </c>
    </row>
    <row r="189">
      <c r="A189" s="8">
        <v>188.0</v>
      </c>
      <c r="B189" s="15">
        <v>3.437E-4</v>
      </c>
      <c r="C189" s="8">
        <v>0.067</v>
      </c>
      <c r="D189" s="9">
        <f t="shared" si="1"/>
        <v>20.92</v>
      </c>
      <c r="E189" s="16">
        <f t="shared" si="2"/>
        <v>0.96</v>
      </c>
      <c r="F189" s="10">
        <f t="shared" si="3"/>
        <v>1.972731033</v>
      </c>
      <c r="G189" s="11">
        <f t="shared" si="4"/>
        <v>61.01</v>
      </c>
      <c r="H189" s="10">
        <f t="shared" si="5"/>
        <v>56.349</v>
      </c>
      <c r="I189" s="10">
        <f t="shared" si="6"/>
        <v>8.11</v>
      </c>
      <c r="J189" s="12">
        <f t="shared" si="7"/>
        <v>13.293</v>
      </c>
      <c r="K189" s="13">
        <f t="shared" si="8"/>
        <v>0.874</v>
      </c>
      <c r="L189" s="10">
        <f t="shared" si="9"/>
        <v>0.171</v>
      </c>
      <c r="M189" s="10">
        <f t="shared" si="10"/>
        <v>0.02460282981</v>
      </c>
      <c r="N189" s="14">
        <f t="shared" si="11"/>
        <v>2.81</v>
      </c>
      <c r="O189" s="9">
        <f t="shared" si="12"/>
        <v>539</v>
      </c>
      <c r="P189" s="9">
        <f t="shared" si="13"/>
        <v>34.88</v>
      </c>
    </row>
    <row r="190">
      <c r="A190" s="8">
        <v>189.0</v>
      </c>
      <c r="B190" s="8">
        <v>0.011</v>
      </c>
      <c r="C190" s="8">
        <v>0.485</v>
      </c>
      <c r="D190" s="9">
        <f t="shared" si="1"/>
        <v>118.35</v>
      </c>
      <c r="E190" s="9">
        <f t="shared" si="2"/>
        <v>0.59</v>
      </c>
      <c r="F190" s="10">
        <f t="shared" si="3"/>
        <v>1.972662692</v>
      </c>
      <c r="G190" s="11">
        <f t="shared" si="4"/>
        <v>61.32</v>
      </c>
      <c r="H190" s="10">
        <f t="shared" si="5"/>
        <v>56.353</v>
      </c>
      <c r="I190" s="10">
        <f t="shared" si="6"/>
        <v>8.09</v>
      </c>
      <c r="J190" s="12">
        <f t="shared" si="7"/>
        <v>13.193</v>
      </c>
      <c r="K190" s="13">
        <f t="shared" si="8"/>
        <v>0.873</v>
      </c>
      <c r="L190" s="10">
        <f t="shared" si="9"/>
        <v>0.172</v>
      </c>
      <c r="M190" s="10">
        <f t="shared" si="10"/>
        <v>0.02468029668</v>
      </c>
      <c r="N190" s="14">
        <f t="shared" si="11"/>
        <v>2.83</v>
      </c>
      <c r="O190" s="9">
        <f t="shared" si="12"/>
        <v>539</v>
      </c>
      <c r="P190" s="9">
        <f t="shared" si="13"/>
        <v>35.06</v>
      </c>
    </row>
    <row r="191">
      <c r="A191" s="8">
        <v>190.0</v>
      </c>
      <c r="B191" s="15">
        <v>3.183E-4</v>
      </c>
      <c r="C191" s="8">
        <v>0.064</v>
      </c>
      <c r="D191" s="9">
        <f t="shared" si="1"/>
        <v>20.13</v>
      </c>
      <c r="E191" s="16">
        <f t="shared" si="2"/>
        <v>0.98</v>
      </c>
      <c r="F191" s="10">
        <f t="shared" si="3"/>
        <v>1.972595079</v>
      </c>
      <c r="G191" s="11">
        <f t="shared" si="4"/>
        <v>61.1</v>
      </c>
      <c r="H191" s="10">
        <f t="shared" si="5"/>
        <v>56.283</v>
      </c>
      <c r="I191" s="10">
        <f t="shared" si="6"/>
        <v>8.05</v>
      </c>
      <c r="J191" s="12">
        <f t="shared" si="7"/>
        <v>13.175</v>
      </c>
      <c r="K191" s="13">
        <f t="shared" si="8"/>
        <v>0.873</v>
      </c>
      <c r="L191" s="10">
        <f t="shared" si="9"/>
        <v>0.171</v>
      </c>
      <c r="M191" s="10">
        <f t="shared" si="10"/>
        <v>0.02447131206</v>
      </c>
      <c r="N191" s="14">
        <f t="shared" si="11"/>
        <v>2.8</v>
      </c>
      <c r="O191" s="9">
        <f t="shared" si="12"/>
        <v>539</v>
      </c>
      <c r="P191" s="9">
        <f t="shared" si="13"/>
        <v>35.25</v>
      </c>
    </row>
    <row r="192">
      <c r="A192" s="8">
        <v>191.0</v>
      </c>
      <c r="B192" s="15">
        <v>1.973E-4</v>
      </c>
      <c r="C192" s="8">
        <v>0.049</v>
      </c>
      <c r="D192" s="9">
        <f t="shared" si="1"/>
        <v>15.85</v>
      </c>
      <c r="E192" s="16">
        <f t="shared" si="2"/>
        <v>1.03</v>
      </c>
      <c r="F192" s="10">
        <f t="shared" si="3"/>
        <v>1.972528182</v>
      </c>
      <c r="G192" s="11">
        <f t="shared" si="4"/>
        <v>60.86</v>
      </c>
      <c r="H192" s="10">
        <f t="shared" si="5"/>
        <v>56.23</v>
      </c>
      <c r="I192" s="10">
        <f t="shared" si="6"/>
        <v>8.03</v>
      </c>
      <c r="J192" s="12">
        <f t="shared" si="7"/>
        <v>13.194</v>
      </c>
      <c r="K192" s="13">
        <f t="shared" si="8"/>
        <v>0.874</v>
      </c>
      <c r="L192" s="10">
        <f t="shared" si="9"/>
        <v>0.171</v>
      </c>
      <c r="M192" s="10">
        <f t="shared" si="10"/>
        <v>0.02440633924</v>
      </c>
      <c r="N192" s="14">
        <f t="shared" si="11"/>
        <v>2.79</v>
      </c>
      <c r="O192" s="9">
        <f t="shared" si="12"/>
        <v>539</v>
      </c>
      <c r="P192" s="9">
        <f t="shared" si="13"/>
        <v>35.44</v>
      </c>
    </row>
    <row r="193">
      <c r="A193" s="8">
        <v>192.0</v>
      </c>
      <c r="B193" s="8">
        <v>0.002</v>
      </c>
      <c r="C193" s="8">
        <v>0.154</v>
      </c>
      <c r="D193" s="9">
        <f t="shared" si="1"/>
        <v>50.46</v>
      </c>
      <c r="E193" s="9">
        <f t="shared" si="2"/>
        <v>1.06</v>
      </c>
      <c r="F193" s="10">
        <f t="shared" si="3"/>
        <v>1.97246199</v>
      </c>
      <c r="G193" s="11">
        <f t="shared" si="4"/>
        <v>60.81</v>
      </c>
      <c r="H193" s="10">
        <f t="shared" si="5"/>
        <v>56.088</v>
      </c>
      <c r="I193" s="10">
        <f t="shared" si="6"/>
        <v>7.98</v>
      </c>
      <c r="J193" s="12">
        <f t="shared" si="7"/>
        <v>13.123</v>
      </c>
      <c r="K193" s="13">
        <f t="shared" si="8"/>
        <v>0.875</v>
      </c>
      <c r="L193" s="10">
        <f t="shared" si="9"/>
        <v>0.171</v>
      </c>
      <c r="M193" s="10">
        <f t="shared" si="10"/>
        <v>0.02434188122</v>
      </c>
      <c r="N193" s="14">
        <f t="shared" si="11"/>
        <v>2.78</v>
      </c>
      <c r="O193" s="9">
        <f t="shared" si="12"/>
        <v>539</v>
      </c>
      <c r="P193" s="9">
        <f t="shared" si="13"/>
        <v>35.62</v>
      </c>
    </row>
    <row r="194">
      <c r="A194" s="8">
        <v>193.0</v>
      </c>
      <c r="B194" s="8">
        <v>0.002</v>
      </c>
      <c r="C194" s="8">
        <v>0.151</v>
      </c>
      <c r="D194" s="9">
        <f t="shared" si="1"/>
        <v>50.46</v>
      </c>
      <c r="E194" s="9">
        <f t="shared" si="2"/>
        <v>1.1</v>
      </c>
      <c r="F194" s="10">
        <f t="shared" si="3"/>
        <v>1.972396491</v>
      </c>
      <c r="G194" s="11">
        <f t="shared" si="4"/>
        <v>60.75</v>
      </c>
      <c r="H194" s="10">
        <f t="shared" si="5"/>
        <v>55.947</v>
      </c>
      <c r="I194" s="10">
        <f t="shared" si="6"/>
        <v>7.94</v>
      </c>
      <c r="J194" s="12">
        <f t="shared" si="7"/>
        <v>13.07</v>
      </c>
      <c r="K194" s="13">
        <f t="shared" si="8"/>
        <v>0.876</v>
      </c>
      <c r="L194" s="10">
        <f t="shared" si="9"/>
        <v>0.172</v>
      </c>
      <c r="M194" s="10">
        <f t="shared" si="10"/>
        <v>0.02441990745</v>
      </c>
      <c r="N194" s="14">
        <f t="shared" si="11"/>
        <v>2.79</v>
      </c>
      <c r="O194" s="9">
        <f t="shared" si="12"/>
        <v>539</v>
      </c>
      <c r="P194" s="9">
        <f t="shared" si="13"/>
        <v>35.81</v>
      </c>
    </row>
    <row r="195">
      <c r="A195" s="8">
        <v>194.0</v>
      </c>
      <c r="B195" s="15">
        <v>3.819E-4</v>
      </c>
      <c r="C195" s="8">
        <v>0.068</v>
      </c>
      <c r="D195" s="9">
        <f t="shared" si="1"/>
        <v>22.05</v>
      </c>
      <c r="E195" s="16">
        <f t="shared" si="2"/>
        <v>1.04</v>
      </c>
      <c r="F195" s="10">
        <f t="shared" si="3"/>
        <v>1.972331676</v>
      </c>
      <c r="G195" s="11">
        <f t="shared" si="4"/>
        <v>60.56</v>
      </c>
      <c r="H195" s="10">
        <f t="shared" si="5"/>
        <v>55.871</v>
      </c>
      <c r="I195" s="10">
        <f t="shared" si="6"/>
        <v>7.91</v>
      </c>
      <c r="J195" s="12">
        <f t="shared" si="7"/>
        <v>13.061</v>
      </c>
      <c r="K195" s="13">
        <f t="shared" si="8"/>
        <v>0.877</v>
      </c>
      <c r="L195" s="10">
        <f t="shared" si="9"/>
        <v>0.172</v>
      </c>
      <c r="M195" s="10">
        <f t="shared" si="10"/>
        <v>0.02435608783</v>
      </c>
      <c r="N195" s="14">
        <f t="shared" si="11"/>
        <v>2.78</v>
      </c>
      <c r="O195" s="9">
        <f t="shared" si="12"/>
        <v>539</v>
      </c>
      <c r="P195" s="9">
        <f t="shared" si="13"/>
        <v>35.99</v>
      </c>
    </row>
    <row r="196">
      <c r="A196" s="8">
        <v>195.0</v>
      </c>
      <c r="B196" s="15">
        <v>9.039E-4</v>
      </c>
      <c r="C196" s="8">
        <v>0.111</v>
      </c>
      <c r="D196" s="9">
        <f t="shared" si="1"/>
        <v>33.92</v>
      </c>
      <c r="E196" s="16">
        <f t="shared" si="2"/>
        <v>0.92</v>
      </c>
      <c r="F196" s="10">
        <f t="shared" si="3"/>
        <v>1.972267533</v>
      </c>
      <c r="G196" s="11">
        <f t="shared" si="4"/>
        <v>60.42</v>
      </c>
      <c r="H196" s="10">
        <f t="shared" si="5"/>
        <v>55.759</v>
      </c>
      <c r="I196" s="10">
        <f t="shared" si="6"/>
        <v>7.88</v>
      </c>
      <c r="J196" s="12">
        <f t="shared" si="7"/>
        <v>13.042</v>
      </c>
      <c r="K196" s="13">
        <f t="shared" si="8"/>
        <v>0.877</v>
      </c>
      <c r="L196" s="10">
        <f t="shared" si="9"/>
        <v>0.171</v>
      </c>
      <c r="M196" s="10">
        <f t="shared" si="10"/>
        <v>0.02415152898</v>
      </c>
      <c r="N196" s="14">
        <f t="shared" si="11"/>
        <v>2.75</v>
      </c>
      <c r="O196" s="9">
        <f t="shared" si="12"/>
        <v>539</v>
      </c>
      <c r="P196" s="9">
        <f t="shared" si="13"/>
        <v>36.18</v>
      </c>
    </row>
    <row r="197">
      <c r="A197" s="8">
        <v>196.0</v>
      </c>
      <c r="B197" s="8">
        <v>0.002</v>
      </c>
      <c r="C197" s="8">
        <v>0.167</v>
      </c>
      <c r="D197" s="9">
        <f t="shared" si="1"/>
        <v>50.46</v>
      </c>
      <c r="E197" s="9">
        <f t="shared" si="2"/>
        <v>0.9</v>
      </c>
      <c r="F197" s="10">
        <f t="shared" si="3"/>
        <v>1.972204051</v>
      </c>
      <c r="G197" s="11">
        <f t="shared" si="4"/>
        <v>60.37</v>
      </c>
      <c r="H197" s="10">
        <f t="shared" si="5"/>
        <v>55.621</v>
      </c>
      <c r="I197" s="10">
        <f t="shared" si="6"/>
        <v>7.84</v>
      </c>
      <c r="J197" s="12">
        <f t="shared" si="7"/>
        <v>12.987</v>
      </c>
      <c r="K197" s="13">
        <f t="shared" si="8"/>
        <v>0.878</v>
      </c>
      <c r="L197" s="10">
        <f t="shared" si="9"/>
        <v>0.171</v>
      </c>
      <c r="M197" s="10">
        <f t="shared" si="10"/>
        <v>0.02408906377</v>
      </c>
      <c r="N197" s="14">
        <f t="shared" si="11"/>
        <v>2.74</v>
      </c>
      <c r="O197" s="9">
        <f t="shared" si="12"/>
        <v>539</v>
      </c>
      <c r="P197" s="9">
        <f t="shared" si="13"/>
        <v>36.36</v>
      </c>
    </row>
    <row r="198">
      <c r="A198" s="8">
        <v>197.0</v>
      </c>
      <c r="B198" s="8">
        <v>0.002</v>
      </c>
      <c r="C198" s="8">
        <v>0.151</v>
      </c>
      <c r="D198" s="9">
        <f t="shared" si="1"/>
        <v>50.46</v>
      </c>
      <c r="E198" s="9">
        <f t="shared" si="2"/>
        <v>1.1</v>
      </c>
      <c r="F198" s="10">
        <f t="shared" si="3"/>
        <v>1.972141222</v>
      </c>
      <c r="G198" s="11">
        <f t="shared" si="4"/>
        <v>60.32</v>
      </c>
      <c r="H198" s="10">
        <f t="shared" si="5"/>
        <v>55.483</v>
      </c>
      <c r="I198" s="10">
        <f t="shared" si="6"/>
        <v>7.8</v>
      </c>
      <c r="J198" s="12">
        <f t="shared" si="7"/>
        <v>12.931</v>
      </c>
      <c r="K198" s="13">
        <f t="shared" si="8"/>
        <v>0.879</v>
      </c>
      <c r="L198" s="10">
        <f t="shared" si="9"/>
        <v>0.171</v>
      </c>
      <c r="M198" s="10">
        <f t="shared" si="10"/>
        <v>0.02402708076</v>
      </c>
      <c r="N198" s="14">
        <f t="shared" si="11"/>
        <v>2.73</v>
      </c>
      <c r="O198" s="9">
        <f t="shared" si="12"/>
        <v>539</v>
      </c>
      <c r="P198" s="9">
        <f t="shared" si="13"/>
        <v>36.55</v>
      </c>
    </row>
    <row r="199">
      <c r="A199" s="8">
        <v>198.0</v>
      </c>
      <c r="B199" s="8">
        <v>0.001</v>
      </c>
      <c r="C199" s="8">
        <v>0.116</v>
      </c>
      <c r="D199" s="9">
        <f t="shared" si="1"/>
        <v>35.68</v>
      </c>
      <c r="E199" s="9">
        <f t="shared" si="2"/>
        <v>0.93</v>
      </c>
      <c r="F199" s="10">
        <f t="shared" si="3"/>
        <v>1.972079034</v>
      </c>
      <c r="G199" s="11">
        <f t="shared" si="4"/>
        <v>60.19</v>
      </c>
      <c r="H199" s="10">
        <f t="shared" si="5"/>
        <v>55.37</v>
      </c>
      <c r="I199" s="10">
        <f t="shared" si="6"/>
        <v>7.76</v>
      </c>
      <c r="J199" s="12">
        <f t="shared" si="7"/>
        <v>12.893</v>
      </c>
      <c r="K199" s="13">
        <f t="shared" si="8"/>
        <v>0.879</v>
      </c>
      <c r="L199" s="10">
        <f t="shared" si="9"/>
        <v>0.171</v>
      </c>
      <c r="M199" s="10">
        <f t="shared" si="10"/>
        <v>0.02396557377</v>
      </c>
      <c r="N199" s="14">
        <f t="shared" si="11"/>
        <v>2.73</v>
      </c>
      <c r="O199" s="9">
        <f t="shared" si="12"/>
        <v>539</v>
      </c>
      <c r="P199" s="9">
        <f t="shared" si="13"/>
        <v>36.73</v>
      </c>
    </row>
    <row r="200">
      <c r="A200" s="8">
        <v>199.0</v>
      </c>
      <c r="B200" s="8">
        <v>0.003</v>
      </c>
      <c r="C200" s="8">
        <v>0.259</v>
      </c>
      <c r="D200" s="9">
        <f t="shared" si="1"/>
        <v>61.8</v>
      </c>
      <c r="E200" s="9">
        <f t="shared" si="2"/>
        <v>0.56</v>
      </c>
      <c r="F200" s="10">
        <f t="shared" si="3"/>
        <v>1.972017478</v>
      </c>
      <c r="G200" s="11">
        <f t="shared" si="4"/>
        <v>60.2</v>
      </c>
      <c r="H200" s="10">
        <f t="shared" si="5"/>
        <v>55.23</v>
      </c>
      <c r="I200" s="10">
        <f t="shared" si="6"/>
        <v>7.72</v>
      </c>
      <c r="J200" s="12">
        <f t="shared" si="7"/>
        <v>12.824</v>
      </c>
      <c r="K200" s="13">
        <f t="shared" si="8"/>
        <v>0.877</v>
      </c>
      <c r="L200" s="10">
        <f t="shared" si="9"/>
        <v>0.172</v>
      </c>
      <c r="M200" s="10">
        <f t="shared" si="10"/>
        <v>0.02404432937</v>
      </c>
      <c r="N200" s="14">
        <f t="shared" si="11"/>
        <v>2.74</v>
      </c>
      <c r="O200" s="9">
        <f t="shared" si="12"/>
        <v>539</v>
      </c>
      <c r="P200" s="9">
        <f t="shared" si="13"/>
        <v>36.92</v>
      </c>
    </row>
    <row r="201">
      <c r="A201" s="8">
        <v>200.0</v>
      </c>
      <c r="B201" s="15">
        <v>3.819E-4</v>
      </c>
      <c r="C201" s="8">
        <v>0.07</v>
      </c>
      <c r="D201" s="9">
        <f t="shared" si="1"/>
        <v>22.05</v>
      </c>
      <c r="E201" s="16">
        <f t="shared" si="2"/>
        <v>0.98</v>
      </c>
      <c r="F201" s="10">
        <f t="shared" si="3"/>
        <v>1.971956544</v>
      </c>
      <c r="G201" s="11">
        <f t="shared" si="4"/>
        <v>60.01</v>
      </c>
      <c r="H201" s="10">
        <f t="shared" si="5"/>
        <v>55.157</v>
      </c>
      <c r="I201" s="10">
        <f t="shared" si="6"/>
        <v>7.69</v>
      </c>
      <c r="J201" s="12">
        <f t="shared" si="7"/>
        <v>12.815</v>
      </c>
      <c r="K201" s="13">
        <f t="shared" si="8"/>
        <v>0.878</v>
      </c>
      <c r="L201" s="10">
        <f t="shared" si="9"/>
        <v>0.171</v>
      </c>
      <c r="M201" s="10">
        <f t="shared" si="10"/>
        <v>0.02384396374</v>
      </c>
      <c r="N201" s="14">
        <f t="shared" si="11"/>
        <v>2.72</v>
      </c>
      <c r="O201" s="9">
        <f t="shared" si="12"/>
        <v>539</v>
      </c>
      <c r="P201" s="9">
        <f t="shared" si="13"/>
        <v>37.11</v>
      </c>
    </row>
    <row r="202">
      <c r="A202" s="8">
        <v>201.0</v>
      </c>
      <c r="B202" s="15">
        <v>2.228E-4</v>
      </c>
      <c r="C202" s="8">
        <v>0.053</v>
      </c>
      <c r="D202" s="9">
        <f t="shared" si="1"/>
        <v>16.84</v>
      </c>
      <c r="E202" s="16">
        <f t="shared" si="2"/>
        <v>1</v>
      </c>
      <c r="F202" s="10">
        <f t="shared" si="3"/>
        <v>1.971896224</v>
      </c>
      <c r="G202" s="11">
        <f t="shared" si="4"/>
        <v>59.8</v>
      </c>
      <c r="H202" s="10">
        <f t="shared" si="5"/>
        <v>55.103</v>
      </c>
      <c r="I202" s="10">
        <f t="shared" si="6"/>
        <v>7.66</v>
      </c>
      <c r="J202" s="12">
        <f t="shared" si="7"/>
        <v>12.809</v>
      </c>
      <c r="K202" s="13">
        <f t="shared" si="8"/>
        <v>0.878</v>
      </c>
      <c r="L202" s="10">
        <f t="shared" si="9"/>
        <v>0.171</v>
      </c>
      <c r="M202" s="10">
        <f t="shared" si="10"/>
        <v>0.02378384889</v>
      </c>
      <c r="N202" s="14">
        <f t="shared" si="11"/>
        <v>2.71</v>
      </c>
      <c r="O202" s="9">
        <f t="shared" si="12"/>
        <v>539</v>
      </c>
      <c r="P202" s="9">
        <f t="shared" si="13"/>
        <v>37.29</v>
      </c>
    </row>
    <row r="203">
      <c r="A203" s="8">
        <v>202.0</v>
      </c>
      <c r="B203" s="15">
        <v>6.238E-4</v>
      </c>
      <c r="C203" s="8">
        <v>0.089</v>
      </c>
      <c r="D203" s="9">
        <f t="shared" si="1"/>
        <v>28.18</v>
      </c>
      <c r="E203" s="16">
        <f t="shared" si="2"/>
        <v>0.99</v>
      </c>
      <c r="F203" s="10">
        <f t="shared" si="3"/>
        <v>1.971836507</v>
      </c>
      <c r="G203" s="11">
        <f t="shared" si="4"/>
        <v>59.64</v>
      </c>
      <c r="H203" s="10">
        <f t="shared" si="5"/>
        <v>55.011</v>
      </c>
      <c r="I203" s="10">
        <f t="shared" si="6"/>
        <v>7.63</v>
      </c>
      <c r="J203" s="12">
        <f t="shared" si="7"/>
        <v>12.793</v>
      </c>
      <c r="K203" s="13">
        <f t="shared" si="8"/>
        <v>0.879</v>
      </c>
      <c r="L203" s="10">
        <f t="shared" si="9"/>
        <v>0.171</v>
      </c>
      <c r="M203" s="10">
        <f t="shared" si="10"/>
        <v>0.02372418645</v>
      </c>
      <c r="N203" s="14">
        <f t="shared" si="11"/>
        <v>2.7</v>
      </c>
      <c r="O203" s="9">
        <f t="shared" si="12"/>
        <v>539</v>
      </c>
      <c r="P203" s="9">
        <f t="shared" si="13"/>
        <v>37.48</v>
      </c>
    </row>
    <row r="204">
      <c r="A204" s="8">
        <v>203.0</v>
      </c>
      <c r="B204" s="15">
        <v>7.83E-4</v>
      </c>
      <c r="C204" s="8">
        <v>0.101</v>
      </c>
      <c r="D204" s="9">
        <f t="shared" si="1"/>
        <v>31.57</v>
      </c>
      <c r="E204" s="16">
        <f t="shared" si="2"/>
        <v>0.96</v>
      </c>
      <c r="F204" s="10">
        <f t="shared" si="3"/>
        <v>1.971777385</v>
      </c>
      <c r="G204" s="11">
        <f t="shared" si="4"/>
        <v>59.5</v>
      </c>
      <c r="H204" s="10">
        <f t="shared" si="5"/>
        <v>54.91</v>
      </c>
      <c r="I204" s="10">
        <f t="shared" si="6"/>
        <v>7.6</v>
      </c>
      <c r="J204" s="12">
        <f t="shared" si="7"/>
        <v>12.773</v>
      </c>
      <c r="K204" s="13">
        <f t="shared" si="8"/>
        <v>0.879</v>
      </c>
      <c r="L204" s="10">
        <f t="shared" si="9"/>
        <v>0.171</v>
      </c>
      <c r="M204" s="10">
        <f t="shared" si="10"/>
        <v>0.02366497078</v>
      </c>
      <c r="N204" s="14">
        <f t="shared" si="11"/>
        <v>2.69</v>
      </c>
      <c r="O204" s="9">
        <f t="shared" si="12"/>
        <v>539</v>
      </c>
      <c r="P204" s="9">
        <f t="shared" si="13"/>
        <v>37.66</v>
      </c>
    </row>
    <row r="205">
      <c r="A205" s="8">
        <v>204.0</v>
      </c>
      <c r="B205" s="8">
        <v>0.001</v>
      </c>
      <c r="C205" s="8">
        <v>0.142</v>
      </c>
      <c r="D205" s="9">
        <f t="shared" si="1"/>
        <v>35.68</v>
      </c>
      <c r="E205" s="9">
        <f t="shared" si="2"/>
        <v>0.62</v>
      </c>
      <c r="F205" s="10">
        <f t="shared" si="3"/>
        <v>1.971718848</v>
      </c>
      <c r="G205" s="11">
        <f t="shared" si="4"/>
        <v>59.38</v>
      </c>
      <c r="H205" s="10">
        <f t="shared" si="5"/>
        <v>54.8</v>
      </c>
      <c r="I205" s="10">
        <f t="shared" si="6"/>
        <v>7.57</v>
      </c>
      <c r="J205" s="12">
        <f t="shared" si="7"/>
        <v>12.748</v>
      </c>
      <c r="K205" s="13">
        <f t="shared" si="8"/>
        <v>0.878</v>
      </c>
      <c r="L205" s="10">
        <f t="shared" si="9"/>
        <v>0.171</v>
      </c>
      <c r="M205" s="10">
        <f t="shared" si="10"/>
        <v>0.02360619633</v>
      </c>
      <c r="N205" s="14">
        <f t="shared" si="11"/>
        <v>2.69</v>
      </c>
      <c r="O205" s="9">
        <f t="shared" si="12"/>
        <v>539</v>
      </c>
      <c r="P205" s="9">
        <f t="shared" si="13"/>
        <v>37.85</v>
      </c>
    </row>
    <row r="206">
      <c r="A206" s="8">
        <v>205.0</v>
      </c>
      <c r="B206" s="15">
        <v>6.811E-4</v>
      </c>
      <c r="C206" s="8">
        <v>0.093</v>
      </c>
      <c r="D206" s="9">
        <f t="shared" si="1"/>
        <v>29.45</v>
      </c>
      <c r="E206" s="16">
        <f t="shared" si="2"/>
        <v>0.99</v>
      </c>
      <c r="F206" s="10">
        <f t="shared" si="3"/>
        <v>1.971660889</v>
      </c>
      <c r="G206" s="11">
        <f t="shared" si="4"/>
        <v>59.24</v>
      </c>
      <c r="H206" s="10">
        <f t="shared" si="5"/>
        <v>54.705</v>
      </c>
      <c r="I206" s="10">
        <f t="shared" si="6"/>
        <v>7.53</v>
      </c>
      <c r="J206" s="12">
        <f t="shared" si="7"/>
        <v>12.711</v>
      </c>
      <c r="K206" s="13">
        <f t="shared" si="8"/>
        <v>0.879</v>
      </c>
      <c r="L206" s="10">
        <f t="shared" si="9"/>
        <v>0.171</v>
      </c>
      <c r="M206" s="10">
        <f t="shared" si="10"/>
        <v>0.02354785764</v>
      </c>
      <c r="N206" s="14">
        <f t="shared" si="11"/>
        <v>2.68</v>
      </c>
      <c r="O206" s="9">
        <f t="shared" si="12"/>
        <v>539</v>
      </c>
      <c r="P206" s="9">
        <f t="shared" si="13"/>
        <v>38.03</v>
      </c>
    </row>
    <row r="207">
      <c r="A207" s="8">
        <v>206.0</v>
      </c>
      <c r="B207" s="8">
        <v>0.001</v>
      </c>
      <c r="C207" s="8">
        <v>0.115</v>
      </c>
      <c r="D207" s="9">
        <f t="shared" si="1"/>
        <v>35.68</v>
      </c>
      <c r="E207" s="9">
        <f t="shared" si="2"/>
        <v>0.95</v>
      </c>
      <c r="F207" s="10">
        <f t="shared" si="3"/>
        <v>1.971603499</v>
      </c>
      <c r="G207" s="11">
        <f t="shared" si="4"/>
        <v>59.12</v>
      </c>
      <c r="H207" s="10">
        <f t="shared" si="5"/>
        <v>54.596</v>
      </c>
      <c r="I207" s="10">
        <f t="shared" si="6"/>
        <v>7.5</v>
      </c>
      <c r="J207" s="12">
        <f t="shared" si="7"/>
        <v>12.686</v>
      </c>
      <c r="K207" s="13">
        <f t="shared" si="8"/>
        <v>0.879</v>
      </c>
      <c r="L207" s="10">
        <f t="shared" si="9"/>
        <v>0.171</v>
      </c>
      <c r="M207" s="10">
        <f t="shared" si="10"/>
        <v>0.02348994936</v>
      </c>
      <c r="N207" s="14">
        <f t="shared" si="11"/>
        <v>2.67</v>
      </c>
      <c r="O207" s="9">
        <f t="shared" si="12"/>
        <v>539</v>
      </c>
      <c r="P207" s="9">
        <f t="shared" si="13"/>
        <v>38.22</v>
      </c>
    </row>
    <row r="208">
      <c r="A208" s="8">
        <v>207.0</v>
      </c>
      <c r="B208" s="8">
        <v>0.003</v>
      </c>
      <c r="C208" s="8">
        <v>0.184</v>
      </c>
      <c r="D208" s="9">
        <f t="shared" si="1"/>
        <v>61.8</v>
      </c>
      <c r="E208" s="9">
        <f t="shared" si="2"/>
        <v>1.11</v>
      </c>
      <c r="F208" s="10">
        <f t="shared" si="3"/>
        <v>1.971546669</v>
      </c>
      <c r="G208" s="11">
        <f t="shared" si="4"/>
        <v>59.14</v>
      </c>
      <c r="H208" s="10">
        <f t="shared" si="5"/>
        <v>54.464</v>
      </c>
      <c r="I208" s="10">
        <f t="shared" si="6"/>
        <v>7.46</v>
      </c>
      <c r="J208" s="12">
        <f t="shared" si="7"/>
        <v>12.614</v>
      </c>
      <c r="K208" s="13">
        <f t="shared" si="8"/>
        <v>0.88</v>
      </c>
      <c r="L208" s="10">
        <f t="shared" si="9"/>
        <v>0.171</v>
      </c>
      <c r="M208" s="10">
        <f t="shared" si="10"/>
        <v>0.02343246622</v>
      </c>
      <c r="N208" s="14">
        <f t="shared" si="11"/>
        <v>2.66</v>
      </c>
      <c r="O208" s="9">
        <f t="shared" si="12"/>
        <v>539</v>
      </c>
      <c r="P208" s="9">
        <f t="shared" si="13"/>
        <v>38.4</v>
      </c>
    </row>
    <row r="209">
      <c r="A209" s="8">
        <v>208.0</v>
      </c>
      <c r="B209" s="8">
        <v>0.001</v>
      </c>
      <c r="C209" s="8">
        <v>0.127</v>
      </c>
      <c r="D209" s="9">
        <f t="shared" si="1"/>
        <v>35.68</v>
      </c>
      <c r="E209" s="9">
        <f t="shared" si="2"/>
        <v>0.78</v>
      </c>
      <c r="F209" s="10">
        <f t="shared" si="3"/>
        <v>1.971490392</v>
      </c>
      <c r="G209" s="11">
        <f t="shared" si="4"/>
        <v>59.02</v>
      </c>
      <c r="H209" s="10">
        <f t="shared" si="5"/>
        <v>54.357</v>
      </c>
      <c r="I209" s="10">
        <f t="shared" si="6"/>
        <v>7.43</v>
      </c>
      <c r="J209" s="12">
        <f t="shared" si="7"/>
        <v>12.589</v>
      </c>
      <c r="K209" s="13">
        <f t="shared" si="8"/>
        <v>0.88</v>
      </c>
      <c r="L209" s="10">
        <f t="shared" si="9"/>
        <v>0.171</v>
      </c>
      <c r="M209" s="10">
        <f t="shared" si="10"/>
        <v>0.02337540304</v>
      </c>
      <c r="N209" s="14">
        <f t="shared" si="11"/>
        <v>2.66</v>
      </c>
      <c r="O209" s="9">
        <f t="shared" si="12"/>
        <v>539</v>
      </c>
      <c r="P209" s="9">
        <f t="shared" si="13"/>
        <v>38.59</v>
      </c>
    </row>
    <row r="210">
      <c r="A210" s="8">
        <v>209.0</v>
      </c>
      <c r="B210" s="8">
        <v>0.002</v>
      </c>
      <c r="C210" s="8">
        <v>0.149</v>
      </c>
      <c r="D210" s="9">
        <f t="shared" si="1"/>
        <v>50.46</v>
      </c>
      <c r="E210" s="9">
        <f t="shared" si="2"/>
        <v>1.13</v>
      </c>
      <c r="F210" s="10">
        <f t="shared" si="3"/>
        <v>1.971434659</v>
      </c>
      <c r="G210" s="11">
        <f t="shared" si="4"/>
        <v>58.98</v>
      </c>
      <c r="H210" s="10">
        <f t="shared" si="5"/>
        <v>54.229</v>
      </c>
      <c r="I210" s="10">
        <f t="shared" si="6"/>
        <v>7.4</v>
      </c>
      <c r="J210" s="12">
        <f t="shared" si="7"/>
        <v>12.547</v>
      </c>
      <c r="K210" s="13">
        <f t="shared" si="8"/>
        <v>0.881</v>
      </c>
      <c r="L210" s="10">
        <f t="shared" si="9"/>
        <v>0.171</v>
      </c>
      <c r="M210" s="10">
        <f t="shared" si="10"/>
        <v>0.02331875474</v>
      </c>
      <c r="N210" s="14">
        <f t="shared" si="11"/>
        <v>2.65</v>
      </c>
      <c r="O210" s="9">
        <f t="shared" si="12"/>
        <v>539</v>
      </c>
      <c r="P210" s="9">
        <f t="shared" si="13"/>
        <v>38.78</v>
      </c>
    </row>
    <row r="211">
      <c r="A211" s="8">
        <v>210.0</v>
      </c>
      <c r="B211" s="15">
        <v>9.739E-4</v>
      </c>
      <c r="C211" s="8">
        <v>0.113</v>
      </c>
      <c r="D211" s="9">
        <f t="shared" si="1"/>
        <v>35.21</v>
      </c>
      <c r="E211" s="16">
        <f t="shared" si="2"/>
        <v>0.96</v>
      </c>
      <c r="F211" s="10">
        <f t="shared" si="3"/>
        <v>1.971379462</v>
      </c>
      <c r="G211" s="11">
        <f t="shared" si="4"/>
        <v>58.87</v>
      </c>
      <c r="H211" s="10">
        <f t="shared" si="5"/>
        <v>54.124</v>
      </c>
      <c r="I211" s="10">
        <f t="shared" si="6"/>
        <v>7.36</v>
      </c>
      <c r="J211" s="12">
        <f t="shared" si="7"/>
        <v>12.502</v>
      </c>
      <c r="K211" s="13">
        <f t="shared" si="8"/>
        <v>0.881</v>
      </c>
      <c r="L211" s="10">
        <f t="shared" si="9"/>
        <v>0.171</v>
      </c>
      <c r="M211" s="10">
        <f t="shared" si="10"/>
        <v>0.02326251631</v>
      </c>
      <c r="N211" s="14">
        <f t="shared" si="11"/>
        <v>2.64</v>
      </c>
      <c r="O211" s="9">
        <f t="shared" si="12"/>
        <v>539</v>
      </c>
      <c r="P211" s="9">
        <f t="shared" si="13"/>
        <v>38.96</v>
      </c>
    </row>
    <row r="212">
      <c r="A212" s="8">
        <v>211.0</v>
      </c>
      <c r="B212" s="15">
        <v>5.347E-4</v>
      </c>
      <c r="C212" s="8">
        <v>0.083</v>
      </c>
      <c r="D212" s="9">
        <f t="shared" si="1"/>
        <v>26.09</v>
      </c>
      <c r="E212" s="16">
        <f t="shared" si="2"/>
        <v>0.98</v>
      </c>
      <c r="F212" s="10">
        <f t="shared" si="3"/>
        <v>1.971324793</v>
      </c>
      <c r="G212" s="11">
        <f t="shared" si="4"/>
        <v>58.71</v>
      </c>
      <c r="H212" s="10">
        <f t="shared" si="5"/>
        <v>54.042</v>
      </c>
      <c r="I212" s="10">
        <f t="shared" si="6"/>
        <v>7.33</v>
      </c>
      <c r="J212" s="12">
        <f t="shared" si="7"/>
        <v>12.485</v>
      </c>
      <c r="K212" s="13">
        <f t="shared" si="8"/>
        <v>0.882</v>
      </c>
      <c r="L212" s="10">
        <f t="shared" si="9"/>
        <v>0.17</v>
      </c>
      <c r="M212" s="10">
        <f t="shared" si="10"/>
        <v>0.02307097124</v>
      </c>
      <c r="N212" s="14">
        <f t="shared" si="11"/>
        <v>2.62</v>
      </c>
      <c r="O212" s="9">
        <f t="shared" si="12"/>
        <v>539</v>
      </c>
      <c r="P212" s="9">
        <f t="shared" si="13"/>
        <v>39.15</v>
      </c>
    </row>
    <row r="213">
      <c r="A213" s="8">
        <v>212.0</v>
      </c>
      <c r="B213" s="8">
        <v>0.001</v>
      </c>
      <c r="C213" s="8">
        <v>0.125</v>
      </c>
      <c r="D213" s="9">
        <f t="shared" si="1"/>
        <v>35.68</v>
      </c>
      <c r="E213" s="9">
        <f t="shared" si="2"/>
        <v>0.8</v>
      </c>
      <c r="F213" s="10">
        <f t="shared" si="3"/>
        <v>1.971270646</v>
      </c>
      <c r="G213" s="11">
        <f t="shared" si="4"/>
        <v>58.61</v>
      </c>
      <c r="H213" s="10">
        <f t="shared" si="5"/>
        <v>53.937</v>
      </c>
      <c r="I213" s="10">
        <f t="shared" si="6"/>
        <v>7.3</v>
      </c>
      <c r="J213" s="12">
        <f t="shared" si="7"/>
        <v>12.455</v>
      </c>
      <c r="K213" s="13">
        <f t="shared" si="8"/>
        <v>0.881</v>
      </c>
      <c r="L213" s="10">
        <f t="shared" si="9"/>
        <v>0.17</v>
      </c>
      <c r="M213" s="10">
        <f t="shared" si="10"/>
        <v>0.02301586205</v>
      </c>
      <c r="N213" s="14">
        <f t="shared" si="11"/>
        <v>2.61</v>
      </c>
      <c r="O213" s="9">
        <f t="shared" si="12"/>
        <v>539</v>
      </c>
      <c r="P213" s="9">
        <f t="shared" si="13"/>
        <v>39.33</v>
      </c>
    </row>
    <row r="214">
      <c r="A214" s="8">
        <v>213.0</v>
      </c>
      <c r="B214" s="15">
        <v>1.655E-4</v>
      </c>
      <c r="C214" s="8">
        <v>0.044</v>
      </c>
      <c r="D214" s="9">
        <f t="shared" si="1"/>
        <v>14.52</v>
      </c>
      <c r="E214" s="16">
        <f t="shared" si="2"/>
        <v>1.07</v>
      </c>
      <c r="F214" s="10">
        <f t="shared" si="3"/>
        <v>1.971217013</v>
      </c>
      <c r="G214" s="11">
        <f t="shared" si="4"/>
        <v>58.4</v>
      </c>
      <c r="H214" s="10">
        <f t="shared" si="5"/>
        <v>53.894</v>
      </c>
      <c r="I214" s="10">
        <f t="shared" si="6"/>
        <v>7.28</v>
      </c>
      <c r="J214" s="12">
        <f t="shared" si="7"/>
        <v>12.466</v>
      </c>
      <c r="K214" s="13">
        <f t="shared" si="8"/>
        <v>0.882</v>
      </c>
      <c r="L214" s="10">
        <f t="shared" si="9"/>
        <v>0.17</v>
      </c>
      <c r="M214" s="10">
        <f t="shared" si="10"/>
        <v>0.02296114591</v>
      </c>
      <c r="N214" s="14">
        <f t="shared" si="11"/>
        <v>2.6</v>
      </c>
      <c r="O214" s="9">
        <f t="shared" si="12"/>
        <v>539</v>
      </c>
      <c r="P214" s="9">
        <f t="shared" si="13"/>
        <v>39.52</v>
      </c>
    </row>
    <row r="215">
      <c r="A215" s="8">
        <v>214.0</v>
      </c>
      <c r="B215" s="8">
        <v>0.001</v>
      </c>
      <c r="C215" s="8">
        <v>0.154</v>
      </c>
      <c r="D215" s="9">
        <f t="shared" si="1"/>
        <v>35.68</v>
      </c>
      <c r="E215" s="9">
        <f t="shared" si="2"/>
        <v>0.53</v>
      </c>
      <c r="F215" s="10">
        <f t="shared" si="3"/>
        <v>1.971163885</v>
      </c>
      <c r="G215" s="11">
        <f t="shared" si="4"/>
        <v>58.29</v>
      </c>
      <c r="H215" s="10">
        <f t="shared" si="5"/>
        <v>53.79</v>
      </c>
      <c r="I215" s="10">
        <f t="shared" si="6"/>
        <v>7.25</v>
      </c>
      <c r="J215" s="12">
        <f t="shared" si="7"/>
        <v>12.438</v>
      </c>
      <c r="K215" s="13">
        <f t="shared" si="8"/>
        <v>0.881</v>
      </c>
      <c r="L215" s="10">
        <f t="shared" si="9"/>
        <v>0.172</v>
      </c>
      <c r="M215" s="10">
        <f t="shared" si="10"/>
        <v>0.02317631014</v>
      </c>
      <c r="N215" s="14">
        <f t="shared" si="11"/>
        <v>2.63</v>
      </c>
      <c r="O215" s="9">
        <f t="shared" si="12"/>
        <v>539</v>
      </c>
      <c r="P215" s="9">
        <f t="shared" si="13"/>
        <v>39.7</v>
      </c>
    </row>
    <row r="216">
      <c r="A216" s="8">
        <v>215.0</v>
      </c>
      <c r="B216" s="8">
        <v>0.005</v>
      </c>
      <c r="C216" s="8">
        <v>0.273</v>
      </c>
      <c r="D216" s="9">
        <f t="shared" si="1"/>
        <v>79.79</v>
      </c>
      <c r="E216" s="9">
        <f t="shared" si="2"/>
        <v>0.84</v>
      </c>
      <c r="F216" s="10">
        <f t="shared" si="3"/>
        <v>1.971111258</v>
      </c>
      <c r="G216" s="11">
        <f t="shared" si="4"/>
        <v>58.39</v>
      </c>
      <c r="H216" s="10">
        <f t="shared" si="5"/>
        <v>53.684</v>
      </c>
      <c r="I216" s="10">
        <f t="shared" si="6"/>
        <v>7.22</v>
      </c>
      <c r="J216" s="12">
        <f t="shared" si="7"/>
        <v>12.365</v>
      </c>
      <c r="K216" s="13">
        <f t="shared" si="8"/>
        <v>0.88</v>
      </c>
      <c r="L216" s="10">
        <f t="shared" si="9"/>
        <v>0.171</v>
      </c>
      <c r="M216" s="10">
        <f t="shared" si="10"/>
        <v>0.02298730292</v>
      </c>
      <c r="N216" s="14">
        <f t="shared" si="11"/>
        <v>2.61</v>
      </c>
      <c r="O216" s="9">
        <f t="shared" si="12"/>
        <v>539</v>
      </c>
      <c r="P216" s="9">
        <f t="shared" si="13"/>
        <v>39.89</v>
      </c>
    </row>
    <row r="217">
      <c r="A217" s="8">
        <v>216.0</v>
      </c>
      <c r="B217" s="15">
        <v>4.456E-4</v>
      </c>
      <c r="C217" s="8">
        <v>0.077</v>
      </c>
      <c r="D217" s="9">
        <f t="shared" si="1"/>
        <v>23.82</v>
      </c>
      <c r="E217" s="16">
        <f t="shared" si="2"/>
        <v>0.94</v>
      </c>
      <c r="F217" s="10">
        <f t="shared" si="3"/>
        <v>1.971059122</v>
      </c>
      <c r="G217" s="11">
        <f t="shared" si="4"/>
        <v>58.23</v>
      </c>
      <c r="H217" s="10">
        <f t="shared" si="5"/>
        <v>53.611</v>
      </c>
      <c r="I217" s="10">
        <f t="shared" si="6"/>
        <v>7.19</v>
      </c>
      <c r="J217" s="12">
        <f t="shared" si="7"/>
        <v>12.348</v>
      </c>
      <c r="K217" s="13">
        <f t="shared" si="8"/>
        <v>0.881</v>
      </c>
      <c r="L217" s="10">
        <f t="shared" si="9"/>
        <v>0.171</v>
      </c>
      <c r="M217" s="10">
        <f t="shared" si="10"/>
        <v>0.02293342323</v>
      </c>
      <c r="N217" s="14">
        <f t="shared" si="11"/>
        <v>2.6</v>
      </c>
      <c r="O217" s="9">
        <f t="shared" si="12"/>
        <v>539</v>
      </c>
      <c r="P217" s="9">
        <f t="shared" si="13"/>
        <v>40.07</v>
      </c>
    </row>
    <row r="218">
      <c r="A218" s="8">
        <v>217.0</v>
      </c>
      <c r="B218" s="15">
        <v>6.875E-4</v>
      </c>
      <c r="C218" s="8">
        <v>0.095</v>
      </c>
      <c r="D218" s="9">
        <f t="shared" si="1"/>
        <v>29.59</v>
      </c>
      <c r="E218" s="16">
        <f t="shared" si="2"/>
        <v>0.96</v>
      </c>
      <c r="F218" s="10">
        <f t="shared" si="3"/>
        <v>1.971007472</v>
      </c>
      <c r="G218" s="11">
        <f t="shared" si="4"/>
        <v>58.1</v>
      </c>
      <c r="H218" s="10">
        <f t="shared" si="5"/>
        <v>53.522</v>
      </c>
      <c r="I218" s="10">
        <f t="shared" si="6"/>
        <v>7.16</v>
      </c>
      <c r="J218" s="12">
        <f t="shared" si="7"/>
        <v>12.324</v>
      </c>
      <c r="K218" s="13">
        <f t="shared" si="8"/>
        <v>0.881</v>
      </c>
      <c r="L218" s="10">
        <f t="shared" si="9"/>
        <v>0.171</v>
      </c>
      <c r="M218" s="10">
        <f t="shared" si="10"/>
        <v>0.02287992066</v>
      </c>
      <c r="N218" s="14">
        <f t="shared" si="11"/>
        <v>2.6</v>
      </c>
      <c r="O218" s="9">
        <f t="shared" si="12"/>
        <v>539</v>
      </c>
      <c r="P218" s="9">
        <f t="shared" si="13"/>
        <v>40.26</v>
      </c>
    </row>
    <row r="219">
      <c r="A219" s="8">
        <v>218.0</v>
      </c>
      <c r="B219" s="15">
        <v>2.292E-4</v>
      </c>
      <c r="C219" s="8">
        <v>0.055</v>
      </c>
      <c r="D219" s="9">
        <f t="shared" si="1"/>
        <v>17.08</v>
      </c>
      <c r="E219" s="16">
        <f t="shared" si="2"/>
        <v>0.95</v>
      </c>
      <c r="F219" s="10">
        <f t="shared" si="3"/>
        <v>1.970956301</v>
      </c>
      <c r="G219" s="11">
        <f t="shared" si="4"/>
        <v>57.91</v>
      </c>
      <c r="H219" s="10">
        <f t="shared" si="5"/>
        <v>53.471</v>
      </c>
      <c r="I219" s="10">
        <f t="shared" si="6"/>
        <v>7.14</v>
      </c>
      <c r="J219" s="12">
        <f t="shared" si="7"/>
        <v>12.329</v>
      </c>
      <c r="K219" s="13">
        <f t="shared" si="8"/>
        <v>0.881</v>
      </c>
      <c r="L219" s="10">
        <f t="shared" si="9"/>
        <v>0.17</v>
      </c>
      <c r="M219" s="10">
        <f t="shared" si="10"/>
        <v>0.02269330081</v>
      </c>
      <c r="N219" s="14">
        <f t="shared" si="11"/>
        <v>2.58</v>
      </c>
      <c r="O219" s="9">
        <f t="shared" si="12"/>
        <v>539</v>
      </c>
      <c r="P219" s="9">
        <f t="shared" si="13"/>
        <v>40.45</v>
      </c>
    </row>
    <row r="220">
      <c r="A220" s="8">
        <v>219.0</v>
      </c>
      <c r="B220" s="15">
        <v>8.275E-4</v>
      </c>
      <c r="C220" s="8">
        <v>0.102</v>
      </c>
      <c r="D220" s="9">
        <f t="shared" si="1"/>
        <v>32.46</v>
      </c>
      <c r="E220" s="16">
        <f t="shared" si="2"/>
        <v>1</v>
      </c>
      <c r="F220" s="10">
        <f t="shared" si="3"/>
        <v>1.970905601</v>
      </c>
      <c r="G220" s="11">
        <f t="shared" si="4"/>
        <v>57.8</v>
      </c>
      <c r="H220" s="10">
        <f t="shared" si="5"/>
        <v>53.376</v>
      </c>
      <c r="I220" s="10">
        <f t="shared" si="6"/>
        <v>7.11</v>
      </c>
      <c r="J220" s="12">
        <f t="shared" si="7"/>
        <v>12.301</v>
      </c>
      <c r="K220" s="13">
        <f t="shared" si="8"/>
        <v>0.882</v>
      </c>
      <c r="L220" s="10">
        <f t="shared" si="9"/>
        <v>0.17</v>
      </c>
      <c r="M220" s="10">
        <f t="shared" si="10"/>
        <v>0.02264084793</v>
      </c>
      <c r="N220" s="14">
        <f t="shared" si="11"/>
        <v>2.57</v>
      </c>
      <c r="O220" s="9">
        <f t="shared" si="12"/>
        <v>539</v>
      </c>
      <c r="P220" s="9">
        <f t="shared" si="13"/>
        <v>40.63</v>
      </c>
    </row>
    <row r="221">
      <c r="A221" s="8">
        <v>220.0</v>
      </c>
      <c r="B221" s="15">
        <v>0.002</v>
      </c>
      <c r="C221" s="8">
        <v>0.184</v>
      </c>
      <c r="D221" s="9">
        <f t="shared" si="1"/>
        <v>50.46</v>
      </c>
      <c r="E221" s="16">
        <f t="shared" si="2"/>
        <v>0.74</v>
      </c>
      <c r="F221" s="10">
        <f t="shared" si="3"/>
        <v>1.970855367</v>
      </c>
      <c r="G221" s="11">
        <f t="shared" si="4"/>
        <v>57.76</v>
      </c>
      <c r="H221" s="10">
        <f t="shared" si="5"/>
        <v>53.256</v>
      </c>
      <c r="I221" s="10">
        <f t="shared" si="6"/>
        <v>7.08</v>
      </c>
      <c r="J221" s="12">
        <f t="shared" si="7"/>
        <v>12.258</v>
      </c>
      <c r="K221" s="13">
        <f t="shared" si="8"/>
        <v>0.881</v>
      </c>
      <c r="L221" s="10">
        <f t="shared" si="9"/>
        <v>0.17</v>
      </c>
      <c r="M221" s="10">
        <f t="shared" si="10"/>
        <v>0.0225887571</v>
      </c>
      <c r="N221" s="14">
        <f t="shared" si="11"/>
        <v>2.56</v>
      </c>
      <c r="O221" s="9">
        <f t="shared" si="12"/>
        <v>539</v>
      </c>
      <c r="P221" s="9">
        <f t="shared" si="13"/>
        <v>40.82</v>
      </c>
    </row>
    <row r="222">
      <c r="A222" s="8">
        <v>221.0</v>
      </c>
      <c r="B222" s="15">
        <v>6.684E-4</v>
      </c>
      <c r="C222" s="8">
        <v>0.092</v>
      </c>
      <c r="D222" s="9">
        <f t="shared" si="1"/>
        <v>29.17</v>
      </c>
      <c r="E222" s="16">
        <f t="shared" si="2"/>
        <v>0.99</v>
      </c>
      <c r="F222" s="10">
        <f t="shared" si="3"/>
        <v>1.970805592</v>
      </c>
      <c r="G222" s="11">
        <f t="shared" si="4"/>
        <v>57.63</v>
      </c>
      <c r="H222" s="10">
        <f t="shared" si="5"/>
        <v>53.17</v>
      </c>
      <c r="I222" s="10">
        <f t="shared" si="6"/>
        <v>7.05</v>
      </c>
      <c r="J222" s="12">
        <f t="shared" si="7"/>
        <v>12.233</v>
      </c>
      <c r="K222" s="13">
        <f t="shared" si="8"/>
        <v>0.882</v>
      </c>
      <c r="L222" s="10">
        <f t="shared" si="9"/>
        <v>0.17</v>
      </c>
      <c r="M222" s="10">
        <f t="shared" si="10"/>
        <v>0.02253702417</v>
      </c>
      <c r="N222" s="14">
        <f t="shared" si="11"/>
        <v>2.56</v>
      </c>
      <c r="O222" s="9">
        <f t="shared" si="12"/>
        <v>539</v>
      </c>
      <c r="P222" s="9">
        <f t="shared" si="13"/>
        <v>41</v>
      </c>
    </row>
    <row r="223">
      <c r="A223" s="8">
        <v>222.0</v>
      </c>
      <c r="B223" s="8">
        <v>0.002</v>
      </c>
      <c r="C223" s="8">
        <v>0.161</v>
      </c>
      <c r="D223" s="9">
        <f t="shared" si="1"/>
        <v>50.46</v>
      </c>
      <c r="E223" s="9">
        <f t="shared" si="2"/>
        <v>0.97</v>
      </c>
      <c r="F223" s="10">
        <f t="shared" si="3"/>
        <v>1.97075627</v>
      </c>
      <c r="G223" s="11">
        <f t="shared" si="4"/>
        <v>57.6</v>
      </c>
      <c r="H223" s="10">
        <f t="shared" si="5"/>
        <v>53.052</v>
      </c>
      <c r="I223" s="10">
        <f t="shared" si="6"/>
        <v>7.02</v>
      </c>
      <c r="J223" s="12">
        <f t="shared" si="7"/>
        <v>12.188</v>
      </c>
      <c r="K223" s="13">
        <f t="shared" si="8"/>
        <v>0.882</v>
      </c>
      <c r="L223" s="10">
        <f t="shared" si="9"/>
        <v>0.169</v>
      </c>
      <c r="M223" s="10">
        <f t="shared" si="10"/>
        <v>0.02235337657</v>
      </c>
      <c r="N223" s="14">
        <f t="shared" si="11"/>
        <v>2.53</v>
      </c>
      <c r="O223" s="9">
        <f t="shared" si="12"/>
        <v>539</v>
      </c>
      <c r="P223" s="9">
        <f t="shared" si="13"/>
        <v>41.19</v>
      </c>
    </row>
    <row r="224">
      <c r="A224" s="8">
        <v>223.0</v>
      </c>
      <c r="B224" s="8">
        <v>0.002</v>
      </c>
      <c r="C224" s="8">
        <v>0.157</v>
      </c>
      <c r="D224" s="9">
        <f t="shared" si="1"/>
        <v>50.46</v>
      </c>
      <c r="E224" s="9">
        <f t="shared" si="2"/>
        <v>1.02</v>
      </c>
      <c r="F224" s="10">
        <f t="shared" si="3"/>
        <v>1.970707395</v>
      </c>
      <c r="G224" s="11">
        <f t="shared" si="4"/>
        <v>57.57</v>
      </c>
      <c r="H224" s="10">
        <f t="shared" si="5"/>
        <v>52.934</v>
      </c>
      <c r="I224" s="10">
        <f t="shared" si="6"/>
        <v>6.99</v>
      </c>
      <c r="J224" s="12">
        <f t="shared" si="7"/>
        <v>12.142</v>
      </c>
      <c r="K224" s="13">
        <f t="shared" si="8"/>
        <v>0.883</v>
      </c>
      <c r="L224" s="10">
        <f t="shared" si="9"/>
        <v>0.169</v>
      </c>
      <c r="M224" s="10">
        <f t="shared" si="10"/>
        <v>0.02230264746</v>
      </c>
      <c r="N224" s="14">
        <f t="shared" si="11"/>
        <v>2.53</v>
      </c>
      <c r="O224" s="9">
        <f t="shared" si="12"/>
        <v>539</v>
      </c>
      <c r="P224" s="9">
        <f t="shared" si="13"/>
        <v>41.37</v>
      </c>
    </row>
    <row r="225">
      <c r="A225" s="8">
        <v>224.0</v>
      </c>
      <c r="B225" s="15">
        <v>7.257E-4</v>
      </c>
      <c r="C225" s="8">
        <v>0.097</v>
      </c>
      <c r="D225" s="9">
        <f t="shared" si="1"/>
        <v>30.4</v>
      </c>
      <c r="E225" s="16">
        <f t="shared" si="2"/>
        <v>0.97</v>
      </c>
      <c r="F225" s="10">
        <f t="shared" si="3"/>
        <v>1.970658961</v>
      </c>
      <c r="G225" s="11">
        <f t="shared" si="4"/>
        <v>57.45</v>
      </c>
      <c r="H225" s="10">
        <f t="shared" si="5"/>
        <v>52.846</v>
      </c>
      <c r="I225" s="10">
        <f t="shared" si="6"/>
        <v>6.96</v>
      </c>
      <c r="J225" s="12">
        <f t="shared" si="7"/>
        <v>12.115</v>
      </c>
      <c r="K225" s="13">
        <f t="shared" si="8"/>
        <v>0.883</v>
      </c>
      <c r="L225" s="10">
        <f t="shared" si="9"/>
        <v>0.169</v>
      </c>
      <c r="M225" s="10">
        <f t="shared" si="10"/>
        <v>0.02225226216</v>
      </c>
      <c r="N225" s="14">
        <f t="shared" si="11"/>
        <v>2.52</v>
      </c>
      <c r="O225" s="9">
        <f t="shared" si="12"/>
        <v>539</v>
      </c>
      <c r="P225" s="9">
        <f t="shared" si="13"/>
        <v>41.56</v>
      </c>
    </row>
    <row r="226">
      <c r="A226" s="8">
        <v>225.0</v>
      </c>
      <c r="B226" s="15">
        <v>3.819E-4</v>
      </c>
      <c r="C226" s="8">
        <v>0.072</v>
      </c>
      <c r="D226" s="9">
        <f t="shared" si="1"/>
        <v>22.05</v>
      </c>
      <c r="E226" s="16">
        <f t="shared" si="2"/>
        <v>0.93</v>
      </c>
      <c r="F226" s="10">
        <f t="shared" si="3"/>
        <v>1.970610961</v>
      </c>
      <c r="G226" s="11">
        <f t="shared" si="4"/>
        <v>57.29</v>
      </c>
      <c r="H226" s="10">
        <f t="shared" si="5"/>
        <v>52.781</v>
      </c>
      <c r="I226" s="10">
        <f t="shared" si="6"/>
        <v>6.93</v>
      </c>
      <c r="J226" s="12">
        <f t="shared" si="7"/>
        <v>12.096</v>
      </c>
      <c r="K226" s="13">
        <f t="shared" si="8"/>
        <v>0.883</v>
      </c>
      <c r="L226" s="10">
        <f t="shared" si="9"/>
        <v>0.169</v>
      </c>
      <c r="M226" s="10">
        <f t="shared" si="10"/>
        <v>0.02220221683</v>
      </c>
      <c r="N226" s="14">
        <f t="shared" si="11"/>
        <v>2.51</v>
      </c>
      <c r="O226" s="9">
        <f t="shared" si="12"/>
        <v>539</v>
      </c>
      <c r="P226" s="9">
        <f t="shared" si="13"/>
        <v>41.74</v>
      </c>
    </row>
    <row r="227">
      <c r="A227" s="8">
        <v>226.0</v>
      </c>
      <c r="B227" s="15">
        <v>1.591E-4</v>
      </c>
      <c r="C227" s="8">
        <v>0.045</v>
      </c>
      <c r="D227" s="9">
        <f t="shared" si="1"/>
        <v>14.23</v>
      </c>
      <c r="E227" s="16">
        <f t="shared" si="2"/>
        <v>0.99</v>
      </c>
      <c r="F227" s="10">
        <f t="shared" si="3"/>
        <v>1.97056339</v>
      </c>
      <c r="G227" s="11">
        <f t="shared" si="4"/>
        <v>57.1</v>
      </c>
      <c r="H227" s="10">
        <f t="shared" si="5"/>
        <v>52.742</v>
      </c>
      <c r="I227" s="10">
        <f t="shared" si="6"/>
        <v>6.91</v>
      </c>
      <c r="J227" s="12">
        <f t="shared" si="7"/>
        <v>12.102</v>
      </c>
      <c r="K227" s="13">
        <f t="shared" si="8"/>
        <v>0.884</v>
      </c>
      <c r="L227" s="10">
        <f t="shared" si="9"/>
        <v>0.168</v>
      </c>
      <c r="M227" s="10">
        <f t="shared" si="10"/>
        <v>0.02202142772</v>
      </c>
      <c r="N227" s="14">
        <f t="shared" si="11"/>
        <v>2.49</v>
      </c>
      <c r="O227" s="9">
        <f t="shared" si="12"/>
        <v>539</v>
      </c>
      <c r="P227" s="9">
        <f t="shared" si="13"/>
        <v>41.93</v>
      </c>
    </row>
    <row r="228">
      <c r="A228" s="8">
        <v>227.0</v>
      </c>
      <c r="B228" s="15">
        <v>0.001</v>
      </c>
      <c r="C228" s="8">
        <v>0.116</v>
      </c>
      <c r="D228" s="9">
        <f t="shared" si="1"/>
        <v>35.68</v>
      </c>
      <c r="E228" s="16">
        <f t="shared" si="2"/>
        <v>0.93</v>
      </c>
      <c r="F228" s="10">
        <f t="shared" si="3"/>
        <v>1.970516243</v>
      </c>
      <c r="G228" s="11">
        <f t="shared" si="4"/>
        <v>57.01</v>
      </c>
      <c r="H228" s="10">
        <f t="shared" si="5"/>
        <v>52.644</v>
      </c>
      <c r="I228" s="10">
        <f t="shared" si="6"/>
        <v>6.89</v>
      </c>
      <c r="J228" s="12">
        <f t="shared" si="7"/>
        <v>12.086</v>
      </c>
      <c r="K228" s="13">
        <f t="shared" si="8"/>
        <v>0.884</v>
      </c>
      <c r="L228" s="10">
        <f t="shared" si="9"/>
        <v>0.168</v>
      </c>
      <c r="M228" s="10">
        <f t="shared" si="10"/>
        <v>0.02197234311</v>
      </c>
      <c r="N228" s="14">
        <f t="shared" si="11"/>
        <v>2.49</v>
      </c>
      <c r="O228" s="9">
        <f t="shared" si="12"/>
        <v>539</v>
      </c>
      <c r="P228" s="9">
        <f t="shared" si="13"/>
        <v>42.12</v>
      </c>
    </row>
    <row r="229">
      <c r="A229" s="8">
        <v>228.0</v>
      </c>
      <c r="B229" s="15">
        <v>3.31E-4</v>
      </c>
      <c r="C229" s="8">
        <v>0.063</v>
      </c>
      <c r="D229" s="9">
        <f t="shared" si="1"/>
        <v>20.53</v>
      </c>
      <c r="E229" s="16">
        <f t="shared" si="2"/>
        <v>1.05</v>
      </c>
      <c r="F229" s="10">
        <f t="shared" si="3"/>
        <v>1.970469513</v>
      </c>
      <c r="G229" s="11">
        <f t="shared" si="4"/>
        <v>56.85</v>
      </c>
      <c r="H229" s="10">
        <f t="shared" si="5"/>
        <v>52.583</v>
      </c>
      <c r="I229" s="10">
        <f t="shared" si="6"/>
        <v>6.86</v>
      </c>
      <c r="J229" s="12">
        <f t="shared" si="7"/>
        <v>12.067</v>
      </c>
      <c r="K229" s="13">
        <f t="shared" si="8"/>
        <v>0.885</v>
      </c>
      <c r="L229" s="10">
        <f t="shared" si="9"/>
        <v>0.168</v>
      </c>
      <c r="M229" s="10">
        <f t="shared" si="10"/>
        <v>0.02192358528</v>
      </c>
      <c r="N229" s="14">
        <f t="shared" si="11"/>
        <v>2.48</v>
      </c>
      <c r="O229" s="9">
        <f t="shared" si="12"/>
        <v>539</v>
      </c>
      <c r="P229" s="9">
        <f t="shared" si="13"/>
        <v>42.3</v>
      </c>
    </row>
    <row r="230">
      <c r="A230" s="8">
        <v>229.0</v>
      </c>
      <c r="B230" s="8">
        <v>0.002</v>
      </c>
      <c r="C230" s="8">
        <v>0.171</v>
      </c>
      <c r="D230" s="9">
        <f t="shared" si="1"/>
        <v>50.46</v>
      </c>
      <c r="E230" s="9">
        <f t="shared" si="2"/>
        <v>0.86</v>
      </c>
      <c r="F230" s="10">
        <f t="shared" si="3"/>
        <v>1.970423195</v>
      </c>
      <c r="G230" s="11">
        <f t="shared" si="4"/>
        <v>56.82</v>
      </c>
      <c r="H230" s="10">
        <f t="shared" si="5"/>
        <v>52.47</v>
      </c>
      <c r="I230" s="10">
        <f t="shared" si="6"/>
        <v>6.83</v>
      </c>
      <c r="J230" s="12">
        <f t="shared" si="7"/>
        <v>12.02</v>
      </c>
      <c r="K230" s="13">
        <f t="shared" si="8"/>
        <v>0.885</v>
      </c>
      <c r="L230" s="10">
        <f t="shared" si="9"/>
        <v>0.168</v>
      </c>
      <c r="M230" s="10">
        <f t="shared" si="10"/>
        <v>0.0218751506</v>
      </c>
      <c r="N230" s="14">
        <f t="shared" si="11"/>
        <v>2.47</v>
      </c>
      <c r="O230" s="9">
        <f t="shared" si="12"/>
        <v>539</v>
      </c>
      <c r="P230" s="9">
        <f t="shared" si="13"/>
        <v>42.49</v>
      </c>
    </row>
    <row r="231">
      <c r="A231" s="8">
        <v>230.0</v>
      </c>
      <c r="B231" s="8">
        <v>0.001</v>
      </c>
      <c r="C231" s="8">
        <v>0.125</v>
      </c>
      <c r="D231" s="9">
        <f t="shared" si="1"/>
        <v>35.68</v>
      </c>
      <c r="E231" s="9">
        <f t="shared" si="2"/>
        <v>0.8</v>
      </c>
      <c r="F231" s="10">
        <f t="shared" si="3"/>
        <v>1.970377283</v>
      </c>
      <c r="G231" s="11">
        <f t="shared" si="4"/>
        <v>56.73</v>
      </c>
      <c r="H231" s="10">
        <f t="shared" si="5"/>
        <v>52.373</v>
      </c>
      <c r="I231" s="10">
        <f t="shared" si="6"/>
        <v>6.8</v>
      </c>
      <c r="J231" s="12">
        <f t="shared" si="7"/>
        <v>11.987</v>
      </c>
      <c r="K231" s="13">
        <f t="shared" si="8"/>
        <v>0.884</v>
      </c>
      <c r="L231" s="10">
        <f t="shared" si="9"/>
        <v>0.167</v>
      </c>
      <c r="M231" s="10">
        <f t="shared" si="10"/>
        <v>0.02169711271</v>
      </c>
      <c r="N231" s="14">
        <f t="shared" si="11"/>
        <v>2.45</v>
      </c>
      <c r="O231" s="9">
        <f t="shared" si="12"/>
        <v>539</v>
      </c>
      <c r="P231" s="9">
        <f t="shared" si="13"/>
        <v>42.67</v>
      </c>
    </row>
    <row r="232">
      <c r="A232" s="8">
        <v>231.0</v>
      </c>
      <c r="B232" s="8">
        <v>0.002</v>
      </c>
      <c r="C232" s="8">
        <v>0.152</v>
      </c>
      <c r="D232" s="9">
        <f t="shared" si="1"/>
        <v>50.46</v>
      </c>
      <c r="E232" s="9">
        <f t="shared" si="2"/>
        <v>1.09</v>
      </c>
      <c r="F232" s="10">
        <f t="shared" si="3"/>
        <v>1.970331773</v>
      </c>
      <c r="G232" s="11">
        <f t="shared" si="4"/>
        <v>56.7</v>
      </c>
      <c r="H232" s="10">
        <f t="shared" si="5"/>
        <v>52.261</v>
      </c>
      <c r="I232" s="10">
        <f t="shared" si="6"/>
        <v>6.78</v>
      </c>
      <c r="J232" s="12">
        <f t="shared" si="7"/>
        <v>11.958</v>
      </c>
      <c r="K232" s="13">
        <f t="shared" si="8"/>
        <v>0.885</v>
      </c>
      <c r="L232" s="10">
        <f t="shared" si="9"/>
        <v>0.168</v>
      </c>
      <c r="M232" s="10">
        <f t="shared" si="10"/>
        <v>0.02177923658</v>
      </c>
      <c r="N232" s="14">
        <f t="shared" si="11"/>
        <v>2.46</v>
      </c>
      <c r="O232" s="9">
        <f t="shared" si="12"/>
        <v>539</v>
      </c>
      <c r="P232" s="9">
        <f t="shared" si="13"/>
        <v>42.86</v>
      </c>
    </row>
    <row r="233">
      <c r="A233" s="8">
        <v>232.0</v>
      </c>
      <c r="B233" s="15">
        <v>7.957E-4</v>
      </c>
      <c r="C233" s="8">
        <v>0.102</v>
      </c>
      <c r="D233" s="9">
        <f t="shared" si="1"/>
        <v>31.83</v>
      </c>
      <c r="E233" s="16">
        <f t="shared" si="2"/>
        <v>0.96</v>
      </c>
      <c r="F233" s="10">
        <f t="shared" si="3"/>
        <v>1.970286659</v>
      </c>
      <c r="G233" s="11">
        <f t="shared" si="4"/>
        <v>56.59</v>
      </c>
      <c r="H233" s="10">
        <f t="shared" si="5"/>
        <v>52.173</v>
      </c>
      <c r="I233" s="10">
        <f t="shared" si="6"/>
        <v>6.75</v>
      </c>
      <c r="J233" s="12">
        <f t="shared" si="7"/>
        <v>11.928</v>
      </c>
      <c r="K233" s="13">
        <f t="shared" si="8"/>
        <v>0.885</v>
      </c>
      <c r="L233" s="10">
        <f t="shared" si="9"/>
        <v>0.167</v>
      </c>
      <c r="M233" s="10">
        <f t="shared" si="10"/>
        <v>0.02160239463</v>
      </c>
      <c r="N233" s="14">
        <f t="shared" si="11"/>
        <v>2.44</v>
      </c>
      <c r="O233" s="9">
        <f t="shared" si="12"/>
        <v>539</v>
      </c>
      <c r="P233" s="9">
        <f t="shared" si="13"/>
        <v>43.04</v>
      </c>
    </row>
    <row r="234">
      <c r="A234" s="8">
        <v>233.0</v>
      </c>
      <c r="B234" s="8">
        <v>0.003</v>
      </c>
      <c r="C234" s="8">
        <v>0.192</v>
      </c>
      <c r="D234" s="9">
        <f t="shared" si="1"/>
        <v>61.8</v>
      </c>
      <c r="E234" s="9">
        <f t="shared" si="2"/>
        <v>1.02</v>
      </c>
      <c r="F234" s="10">
        <f t="shared" si="3"/>
        <v>1.970241936</v>
      </c>
      <c r="G234" s="11">
        <f t="shared" si="4"/>
        <v>56.61</v>
      </c>
      <c r="H234" s="10">
        <f t="shared" si="5"/>
        <v>52.062</v>
      </c>
      <c r="I234" s="10">
        <f t="shared" si="6"/>
        <v>6.72</v>
      </c>
      <c r="J234" s="12">
        <f t="shared" si="7"/>
        <v>11.871</v>
      </c>
      <c r="K234" s="13">
        <f t="shared" si="8"/>
        <v>0.886</v>
      </c>
      <c r="L234" s="10">
        <f t="shared" si="9"/>
        <v>0.167</v>
      </c>
      <c r="M234" s="10">
        <f t="shared" si="10"/>
        <v>0.02155549842</v>
      </c>
      <c r="N234" s="14">
        <f t="shared" si="11"/>
        <v>2.43</v>
      </c>
      <c r="O234" s="9">
        <f t="shared" si="12"/>
        <v>539</v>
      </c>
      <c r="P234" s="9">
        <f t="shared" si="13"/>
        <v>43.23</v>
      </c>
    </row>
    <row r="235">
      <c r="A235" s="8">
        <v>234.0</v>
      </c>
      <c r="B235" s="8">
        <v>0.002</v>
      </c>
      <c r="C235" s="8">
        <v>0.16</v>
      </c>
      <c r="D235" s="9">
        <f t="shared" si="1"/>
        <v>50.46</v>
      </c>
      <c r="E235" s="9">
        <f t="shared" si="2"/>
        <v>0.98</v>
      </c>
      <c r="F235" s="10">
        <f t="shared" si="3"/>
        <v>1.970197599</v>
      </c>
      <c r="G235" s="11">
        <f t="shared" si="4"/>
        <v>56.59</v>
      </c>
      <c r="H235" s="10">
        <f t="shared" si="5"/>
        <v>51.952</v>
      </c>
      <c r="I235" s="10">
        <f t="shared" si="6"/>
        <v>6.69</v>
      </c>
      <c r="J235" s="12">
        <f t="shared" si="7"/>
        <v>11.822</v>
      </c>
      <c r="K235" s="13">
        <f t="shared" si="8"/>
        <v>0.886</v>
      </c>
      <c r="L235" s="10">
        <f t="shared" si="9"/>
        <v>0.167</v>
      </c>
      <c r="M235" s="10">
        <f t="shared" si="10"/>
        <v>0.02150890631</v>
      </c>
      <c r="N235" s="14">
        <f t="shared" si="11"/>
        <v>2.43</v>
      </c>
      <c r="O235" s="9">
        <f t="shared" si="12"/>
        <v>539</v>
      </c>
      <c r="P235" s="9">
        <f t="shared" si="13"/>
        <v>43.41</v>
      </c>
    </row>
    <row r="236">
      <c r="A236" s="8">
        <v>235.0</v>
      </c>
      <c r="B236" s="8">
        <v>0.002</v>
      </c>
      <c r="C236" s="8">
        <v>0.161</v>
      </c>
      <c r="D236" s="9">
        <f t="shared" si="1"/>
        <v>50.46</v>
      </c>
      <c r="E236" s="9">
        <f t="shared" si="2"/>
        <v>0.97</v>
      </c>
      <c r="F236" s="10">
        <f t="shared" si="3"/>
        <v>1.970153643</v>
      </c>
      <c r="G236" s="11">
        <f t="shared" si="4"/>
        <v>56.56</v>
      </c>
      <c r="H236" s="10">
        <f t="shared" si="5"/>
        <v>51.842</v>
      </c>
      <c r="I236" s="10">
        <f t="shared" si="6"/>
        <v>6.66</v>
      </c>
      <c r="J236" s="12">
        <f t="shared" si="7"/>
        <v>11.775</v>
      </c>
      <c r="K236" s="13">
        <f t="shared" si="8"/>
        <v>0.887</v>
      </c>
      <c r="L236" s="10">
        <f t="shared" si="9"/>
        <v>0.167</v>
      </c>
      <c r="M236" s="10">
        <f t="shared" si="10"/>
        <v>0.02146261504</v>
      </c>
      <c r="N236" s="14">
        <f t="shared" si="11"/>
        <v>2.42</v>
      </c>
      <c r="O236" s="9">
        <f t="shared" si="12"/>
        <v>539</v>
      </c>
      <c r="P236" s="9">
        <f t="shared" si="13"/>
        <v>43.6</v>
      </c>
    </row>
    <row r="237">
      <c r="A237" s="8">
        <v>236.0</v>
      </c>
      <c r="B237" s="15">
        <v>0.002</v>
      </c>
      <c r="C237" s="8">
        <v>0.152</v>
      </c>
      <c r="D237" s="9">
        <f t="shared" si="1"/>
        <v>50.46</v>
      </c>
      <c r="E237" s="16">
        <f t="shared" si="2"/>
        <v>1.09</v>
      </c>
      <c r="F237" s="10">
        <f t="shared" si="3"/>
        <v>1.970110062</v>
      </c>
      <c r="G237" s="11">
        <f t="shared" si="4"/>
        <v>56.54</v>
      </c>
      <c r="H237" s="10">
        <f t="shared" si="5"/>
        <v>51.733</v>
      </c>
      <c r="I237" s="10">
        <f t="shared" si="6"/>
        <v>6.63</v>
      </c>
      <c r="J237" s="12">
        <f t="shared" si="7"/>
        <v>11.726</v>
      </c>
      <c r="K237" s="13">
        <f t="shared" si="8"/>
        <v>0.888</v>
      </c>
      <c r="L237" s="10">
        <f t="shared" si="9"/>
        <v>0.167</v>
      </c>
      <c r="M237" s="10">
        <f t="shared" si="10"/>
        <v>0.02141662137</v>
      </c>
      <c r="N237" s="14">
        <f t="shared" si="11"/>
        <v>2.41</v>
      </c>
      <c r="O237" s="9">
        <f t="shared" si="12"/>
        <v>539</v>
      </c>
      <c r="P237" s="9">
        <f t="shared" si="13"/>
        <v>43.78</v>
      </c>
    </row>
    <row r="238">
      <c r="A238" s="8">
        <v>237.0</v>
      </c>
      <c r="B238" s="15">
        <v>0.003</v>
      </c>
      <c r="C238" s="8">
        <v>0.204</v>
      </c>
      <c r="D238" s="9">
        <f t="shared" si="1"/>
        <v>61.8</v>
      </c>
      <c r="E238" s="16">
        <f t="shared" si="2"/>
        <v>0.91</v>
      </c>
      <c r="F238" s="10">
        <f t="shared" si="3"/>
        <v>1.970066853</v>
      </c>
      <c r="G238" s="11">
        <f t="shared" si="4"/>
        <v>56.56</v>
      </c>
      <c r="H238" s="10">
        <f t="shared" si="5"/>
        <v>51.625</v>
      </c>
      <c r="I238" s="10">
        <f t="shared" si="6"/>
        <v>6.61</v>
      </c>
      <c r="J238" s="12">
        <f t="shared" si="7"/>
        <v>11.687</v>
      </c>
      <c r="K238" s="13">
        <f t="shared" si="8"/>
        <v>0.888</v>
      </c>
      <c r="L238" s="10">
        <f t="shared" si="9"/>
        <v>0.166</v>
      </c>
      <c r="M238" s="10">
        <f t="shared" si="10"/>
        <v>0.02124295255</v>
      </c>
      <c r="N238" s="14">
        <f t="shared" si="11"/>
        <v>2.39</v>
      </c>
      <c r="O238" s="9">
        <f t="shared" si="12"/>
        <v>539</v>
      </c>
      <c r="P238" s="9">
        <f t="shared" si="13"/>
        <v>43.97</v>
      </c>
    </row>
    <row r="239">
      <c r="A239" s="8">
        <v>238.0</v>
      </c>
      <c r="B239" s="15">
        <v>0.001</v>
      </c>
      <c r="C239" s="8">
        <v>0.136</v>
      </c>
      <c r="D239" s="9">
        <f t="shared" si="1"/>
        <v>35.68</v>
      </c>
      <c r="E239" s="16">
        <f t="shared" si="2"/>
        <v>0.68</v>
      </c>
      <c r="F239" s="10">
        <f t="shared" si="3"/>
        <v>1.97002401</v>
      </c>
      <c r="G239" s="11">
        <f t="shared" si="4"/>
        <v>56.47</v>
      </c>
      <c r="H239" s="10">
        <f t="shared" si="5"/>
        <v>51.533</v>
      </c>
      <c r="I239" s="10">
        <f t="shared" si="6"/>
        <v>6.58</v>
      </c>
      <c r="J239" s="12">
        <f t="shared" si="7"/>
        <v>11.652</v>
      </c>
      <c r="K239" s="13">
        <f t="shared" si="8"/>
        <v>0.887</v>
      </c>
      <c r="L239" s="10">
        <f t="shared" si="9"/>
        <v>0.167</v>
      </c>
      <c r="M239" s="10">
        <f t="shared" si="10"/>
        <v>0.02132551421</v>
      </c>
      <c r="N239" s="14">
        <f t="shared" si="11"/>
        <v>2.4</v>
      </c>
      <c r="O239" s="9">
        <f t="shared" si="12"/>
        <v>539</v>
      </c>
      <c r="P239" s="9">
        <f t="shared" si="13"/>
        <v>44.16</v>
      </c>
    </row>
    <row r="240">
      <c r="A240" s="8">
        <v>239.0</v>
      </c>
      <c r="B240" s="8">
        <v>0.003</v>
      </c>
      <c r="C240" s="8">
        <v>0.204</v>
      </c>
      <c r="D240" s="9">
        <f t="shared" si="1"/>
        <v>61.8</v>
      </c>
      <c r="E240" s="9">
        <f t="shared" si="2"/>
        <v>0.91</v>
      </c>
      <c r="F240" s="10">
        <f t="shared" si="3"/>
        <v>1.96998153</v>
      </c>
      <c r="G240" s="11">
        <f t="shared" si="4"/>
        <v>56.49</v>
      </c>
      <c r="H240" s="10">
        <f t="shared" si="5"/>
        <v>51.426</v>
      </c>
      <c r="I240" s="10">
        <f t="shared" si="6"/>
        <v>6.55</v>
      </c>
      <c r="J240" s="12">
        <f t="shared" si="7"/>
        <v>11.595</v>
      </c>
      <c r="K240" s="13">
        <f t="shared" si="8"/>
        <v>0.887</v>
      </c>
      <c r="L240" s="10">
        <f t="shared" si="9"/>
        <v>0.166</v>
      </c>
      <c r="M240" s="10">
        <f t="shared" si="10"/>
        <v>0.021152967</v>
      </c>
      <c r="N240" s="14">
        <f t="shared" si="11"/>
        <v>2.38</v>
      </c>
      <c r="O240" s="9">
        <f t="shared" si="12"/>
        <v>539</v>
      </c>
      <c r="P240" s="9">
        <f t="shared" si="13"/>
        <v>44.34</v>
      </c>
    </row>
    <row r="241">
      <c r="A241" s="8">
        <v>240.0</v>
      </c>
      <c r="B241" s="15">
        <v>0.001</v>
      </c>
      <c r="C241" s="8">
        <v>0.135</v>
      </c>
      <c r="D241" s="9">
        <f t="shared" si="1"/>
        <v>35.68</v>
      </c>
      <c r="E241" s="16">
        <f t="shared" si="2"/>
        <v>0.69</v>
      </c>
      <c r="F241" s="10">
        <f t="shared" si="3"/>
        <v>1.969939406</v>
      </c>
      <c r="G241" s="11">
        <f t="shared" si="4"/>
        <v>56.41</v>
      </c>
      <c r="H241" s="10">
        <f t="shared" si="5"/>
        <v>51.336</v>
      </c>
      <c r="I241" s="10">
        <f t="shared" si="6"/>
        <v>6.53</v>
      </c>
      <c r="J241" s="12">
        <f t="shared" si="7"/>
        <v>11.576</v>
      </c>
      <c r="K241" s="13">
        <f t="shared" si="8"/>
        <v>0.886</v>
      </c>
      <c r="L241" s="10">
        <f t="shared" si="9"/>
        <v>0.166</v>
      </c>
      <c r="M241" s="10">
        <f t="shared" si="10"/>
        <v>0.02110840095</v>
      </c>
      <c r="N241" s="14">
        <f t="shared" si="11"/>
        <v>2.38</v>
      </c>
      <c r="O241" s="9">
        <f t="shared" si="12"/>
        <v>539</v>
      </c>
      <c r="P241" s="9">
        <f t="shared" si="13"/>
        <v>44.53</v>
      </c>
    </row>
    <row r="242">
      <c r="A242" s="8">
        <v>241.0</v>
      </c>
      <c r="B242" s="15">
        <v>7.384E-4</v>
      </c>
      <c r="C242" s="8">
        <v>0.097</v>
      </c>
      <c r="D242" s="9">
        <f t="shared" si="1"/>
        <v>30.66</v>
      </c>
      <c r="E242" s="16">
        <f t="shared" si="2"/>
        <v>0.99</v>
      </c>
      <c r="F242" s="10">
        <f t="shared" si="3"/>
        <v>1.969897635</v>
      </c>
      <c r="G242" s="11">
        <f t="shared" si="4"/>
        <v>56.3</v>
      </c>
      <c r="H242" s="10">
        <f t="shared" si="5"/>
        <v>51.256</v>
      </c>
      <c r="I242" s="10">
        <f t="shared" si="6"/>
        <v>6.5</v>
      </c>
      <c r="J242" s="12">
        <f t="shared" si="7"/>
        <v>11.545</v>
      </c>
      <c r="K242" s="13">
        <f t="shared" si="8"/>
        <v>0.887</v>
      </c>
      <c r="L242" s="10">
        <f t="shared" si="9"/>
        <v>0.166</v>
      </c>
      <c r="M242" s="10">
        <f t="shared" si="10"/>
        <v>0.02106411541</v>
      </c>
      <c r="N242" s="14">
        <f t="shared" si="11"/>
        <v>2.37</v>
      </c>
      <c r="O242" s="9">
        <f t="shared" si="12"/>
        <v>539</v>
      </c>
      <c r="P242" s="9">
        <f t="shared" si="13"/>
        <v>44.71</v>
      </c>
    </row>
    <row r="243">
      <c r="A243" s="8">
        <v>242.0</v>
      </c>
      <c r="B243" s="8">
        <v>0.003</v>
      </c>
      <c r="C243" s="8">
        <v>0.188</v>
      </c>
      <c r="D243" s="9">
        <f t="shared" si="1"/>
        <v>61.8</v>
      </c>
      <c r="E243" s="9">
        <f t="shared" si="2"/>
        <v>1.07</v>
      </c>
      <c r="F243" s="10">
        <f t="shared" si="3"/>
        <v>1.969856213</v>
      </c>
      <c r="G243" s="11">
        <f t="shared" si="4"/>
        <v>56.32</v>
      </c>
      <c r="H243" s="10">
        <f t="shared" si="5"/>
        <v>51.151</v>
      </c>
      <c r="I243" s="10">
        <f t="shared" si="6"/>
        <v>6.48</v>
      </c>
      <c r="J243" s="12">
        <f t="shared" si="7"/>
        <v>11.506</v>
      </c>
      <c r="K243" s="13">
        <f t="shared" si="8"/>
        <v>0.887</v>
      </c>
      <c r="L243" s="10">
        <f t="shared" si="9"/>
        <v>0.166</v>
      </c>
      <c r="M243" s="10">
        <f t="shared" si="10"/>
        <v>0.02102010744</v>
      </c>
      <c r="N243" s="14">
        <f t="shared" si="11"/>
        <v>2.37</v>
      </c>
      <c r="O243" s="9">
        <f t="shared" si="12"/>
        <v>539</v>
      </c>
      <c r="P243" s="9">
        <f t="shared" si="13"/>
        <v>44.9</v>
      </c>
    </row>
    <row r="244">
      <c r="A244" s="8">
        <v>243.0</v>
      </c>
      <c r="B244" s="15">
        <v>9.548E-4</v>
      </c>
      <c r="C244" s="8">
        <v>0.112</v>
      </c>
      <c r="D244" s="9">
        <f t="shared" si="1"/>
        <v>34.87</v>
      </c>
      <c r="E244" s="16">
        <f t="shared" si="2"/>
        <v>0.96</v>
      </c>
      <c r="F244" s="10">
        <f t="shared" si="3"/>
        <v>1.969815134</v>
      </c>
      <c r="G244" s="11">
        <f t="shared" si="4"/>
        <v>56.23</v>
      </c>
      <c r="H244" s="10">
        <f t="shared" si="5"/>
        <v>51.063</v>
      </c>
      <c r="I244" s="10">
        <f t="shared" si="6"/>
        <v>6.45</v>
      </c>
      <c r="J244" s="12">
        <f t="shared" si="7"/>
        <v>11.471</v>
      </c>
      <c r="K244" s="13">
        <f t="shared" si="8"/>
        <v>0.888</v>
      </c>
      <c r="L244" s="10">
        <f t="shared" si="9"/>
        <v>0.166</v>
      </c>
      <c r="M244" s="10">
        <f t="shared" si="10"/>
        <v>0.02097637416</v>
      </c>
      <c r="N244" s="14">
        <f t="shared" si="11"/>
        <v>2.36</v>
      </c>
      <c r="O244" s="9">
        <f t="shared" si="12"/>
        <v>539</v>
      </c>
      <c r="P244" s="9">
        <f t="shared" si="13"/>
        <v>45.08</v>
      </c>
    </row>
    <row r="245">
      <c r="A245" s="8">
        <v>244.0</v>
      </c>
      <c r="B245" s="15">
        <v>0.004</v>
      </c>
      <c r="C245" s="8">
        <v>0.219</v>
      </c>
      <c r="D245" s="9">
        <f t="shared" si="1"/>
        <v>71.36</v>
      </c>
      <c r="E245" s="16">
        <f t="shared" si="2"/>
        <v>1.05</v>
      </c>
      <c r="F245" s="10">
        <f t="shared" si="3"/>
        <v>1.969774395</v>
      </c>
      <c r="G245" s="11">
        <f t="shared" si="4"/>
        <v>56.3</v>
      </c>
      <c r="H245" s="10">
        <f t="shared" si="5"/>
        <v>50.967</v>
      </c>
      <c r="I245" s="10">
        <f t="shared" si="6"/>
        <v>6.43</v>
      </c>
      <c r="J245" s="12">
        <f t="shared" si="7"/>
        <v>11.421</v>
      </c>
      <c r="K245" s="13">
        <f t="shared" si="8"/>
        <v>0.888</v>
      </c>
      <c r="L245" s="10">
        <f t="shared" si="9"/>
        <v>0.166</v>
      </c>
      <c r="M245" s="10">
        <f t="shared" si="10"/>
        <v>0.02093291272</v>
      </c>
      <c r="N245" s="14">
        <f t="shared" si="11"/>
        <v>2.36</v>
      </c>
      <c r="O245" s="9">
        <f t="shared" si="12"/>
        <v>539</v>
      </c>
      <c r="P245" s="9">
        <f t="shared" si="13"/>
        <v>45.27</v>
      </c>
    </row>
    <row r="246">
      <c r="A246" s="8">
        <v>245.0</v>
      </c>
      <c r="B246" s="15">
        <v>7.575E-4</v>
      </c>
      <c r="C246" s="8">
        <v>0.097</v>
      </c>
      <c r="D246" s="9">
        <f t="shared" si="1"/>
        <v>31.06</v>
      </c>
      <c r="E246" s="16">
        <f t="shared" si="2"/>
        <v>1.01</v>
      </c>
      <c r="F246" s="10">
        <f t="shared" si="3"/>
        <v>1.969733992</v>
      </c>
      <c r="G246" s="11">
        <f t="shared" si="4"/>
        <v>56.19</v>
      </c>
      <c r="H246" s="10">
        <f t="shared" si="5"/>
        <v>50.888</v>
      </c>
      <c r="I246" s="10">
        <f t="shared" si="6"/>
        <v>6.4</v>
      </c>
      <c r="J246" s="12">
        <f t="shared" si="7"/>
        <v>11.39</v>
      </c>
      <c r="K246" s="13">
        <f t="shared" si="8"/>
        <v>0.889</v>
      </c>
      <c r="L246" s="10">
        <f t="shared" si="9"/>
        <v>0.166</v>
      </c>
      <c r="M246" s="10">
        <f t="shared" si="10"/>
        <v>0.02088972032</v>
      </c>
      <c r="N246" s="14">
        <f t="shared" si="11"/>
        <v>2.35</v>
      </c>
      <c r="O246" s="9">
        <f t="shared" si="12"/>
        <v>539</v>
      </c>
      <c r="P246" s="9">
        <f t="shared" si="13"/>
        <v>45.45</v>
      </c>
    </row>
    <row r="247">
      <c r="A247" s="8">
        <v>246.0</v>
      </c>
      <c r="B247" s="15">
        <v>3.055E-4</v>
      </c>
      <c r="C247" s="8">
        <v>0.061</v>
      </c>
      <c r="D247" s="9">
        <f t="shared" si="1"/>
        <v>19.72</v>
      </c>
      <c r="E247" s="16">
        <f t="shared" si="2"/>
        <v>1.03</v>
      </c>
      <c r="F247" s="10">
        <f t="shared" si="3"/>
        <v>1.969693921</v>
      </c>
      <c r="G247" s="11">
        <f t="shared" si="4"/>
        <v>56.04</v>
      </c>
      <c r="H247" s="10">
        <f t="shared" si="5"/>
        <v>50.838</v>
      </c>
      <c r="I247" s="10">
        <f t="shared" si="6"/>
        <v>6.38</v>
      </c>
      <c r="J247" s="12">
        <f t="shared" si="7"/>
        <v>11.385</v>
      </c>
      <c r="K247" s="13">
        <f t="shared" si="8"/>
        <v>0.889</v>
      </c>
      <c r="L247" s="10">
        <f t="shared" si="9"/>
        <v>0.166</v>
      </c>
      <c r="M247" s="10">
        <f t="shared" si="10"/>
        <v>0.02084679419</v>
      </c>
      <c r="N247" s="14">
        <f t="shared" si="11"/>
        <v>2.34</v>
      </c>
      <c r="O247" s="9">
        <f t="shared" si="12"/>
        <v>539</v>
      </c>
      <c r="P247" s="9">
        <f t="shared" si="13"/>
        <v>45.64</v>
      </c>
    </row>
    <row r="248">
      <c r="A248" s="8">
        <v>247.0</v>
      </c>
      <c r="B248" s="8">
        <v>0.003</v>
      </c>
      <c r="C248" s="8">
        <v>0.191</v>
      </c>
      <c r="D248" s="9">
        <f t="shared" si="1"/>
        <v>61.8</v>
      </c>
      <c r="E248" s="9">
        <f t="shared" si="2"/>
        <v>1.03</v>
      </c>
      <c r="F248" s="10">
        <f t="shared" si="3"/>
        <v>1.969654176</v>
      </c>
      <c r="G248" s="11">
        <f t="shared" si="4"/>
        <v>56.07</v>
      </c>
      <c r="H248" s="10">
        <f t="shared" si="5"/>
        <v>50.735</v>
      </c>
      <c r="I248" s="10">
        <f t="shared" si="6"/>
        <v>6.36</v>
      </c>
      <c r="J248" s="12">
        <f t="shared" si="7"/>
        <v>11.343</v>
      </c>
      <c r="K248" s="13">
        <f t="shared" si="8"/>
        <v>0.89</v>
      </c>
      <c r="L248" s="10">
        <f t="shared" si="9"/>
        <v>0.166</v>
      </c>
      <c r="M248" s="10">
        <f t="shared" si="10"/>
        <v>0.02080413161</v>
      </c>
      <c r="N248" s="14">
        <f t="shared" si="11"/>
        <v>2.34</v>
      </c>
      <c r="O248" s="9">
        <f t="shared" si="12"/>
        <v>539</v>
      </c>
      <c r="P248" s="9">
        <f t="shared" si="13"/>
        <v>45.83</v>
      </c>
    </row>
    <row r="249">
      <c r="A249" s="8">
        <v>248.0</v>
      </c>
      <c r="B249" s="15">
        <v>0.004</v>
      </c>
      <c r="C249" s="8">
        <v>0.243</v>
      </c>
      <c r="D249" s="9">
        <f t="shared" si="1"/>
        <v>71.36</v>
      </c>
      <c r="E249" s="16">
        <f t="shared" si="2"/>
        <v>0.85</v>
      </c>
      <c r="F249" s="10">
        <f t="shared" si="3"/>
        <v>1.969614755</v>
      </c>
      <c r="G249" s="11">
        <f t="shared" si="4"/>
        <v>56.13</v>
      </c>
      <c r="H249" s="10">
        <f t="shared" si="5"/>
        <v>50.642</v>
      </c>
      <c r="I249" s="10">
        <f t="shared" si="6"/>
        <v>6.33</v>
      </c>
      <c r="J249" s="12">
        <f t="shared" si="7"/>
        <v>11.277</v>
      </c>
      <c r="K249" s="13">
        <f t="shared" si="8"/>
        <v>0.89</v>
      </c>
      <c r="L249" s="10">
        <f t="shared" si="9"/>
        <v>0.165</v>
      </c>
      <c r="M249" s="10">
        <f t="shared" si="10"/>
        <v>0.02063665923</v>
      </c>
      <c r="N249" s="14">
        <f t="shared" si="11"/>
        <v>2.32</v>
      </c>
      <c r="O249" s="9">
        <f t="shared" si="12"/>
        <v>539</v>
      </c>
      <c r="P249" s="9">
        <f t="shared" si="13"/>
        <v>46.01</v>
      </c>
    </row>
    <row r="250">
      <c r="A250" s="8">
        <v>249.0</v>
      </c>
      <c r="B250" s="15">
        <v>4.774E-4</v>
      </c>
      <c r="C250" s="8">
        <v>0.078</v>
      </c>
      <c r="D250" s="9">
        <f t="shared" si="1"/>
        <v>24.65</v>
      </c>
      <c r="E250" s="16">
        <f t="shared" si="2"/>
        <v>0.99</v>
      </c>
      <c r="F250" s="10">
        <f t="shared" si="3"/>
        <v>1.969575654</v>
      </c>
      <c r="G250" s="11">
        <f t="shared" si="4"/>
        <v>56</v>
      </c>
      <c r="H250" s="10">
        <f t="shared" si="5"/>
        <v>50.579</v>
      </c>
      <c r="I250" s="10">
        <f t="shared" si="6"/>
        <v>6.31</v>
      </c>
      <c r="J250" s="12">
        <f t="shared" si="7"/>
        <v>11.268</v>
      </c>
      <c r="K250" s="13">
        <f t="shared" si="8"/>
        <v>0.89</v>
      </c>
      <c r="L250" s="10">
        <f t="shared" si="9"/>
        <v>0.165</v>
      </c>
      <c r="M250" s="10">
        <f t="shared" si="10"/>
        <v>0.02059476961</v>
      </c>
      <c r="N250" s="14">
        <f t="shared" si="11"/>
        <v>2.31</v>
      </c>
      <c r="O250" s="9">
        <f t="shared" si="12"/>
        <v>539</v>
      </c>
      <c r="P250" s="9">
        <f t="shared" si="13"/>
        <v>46.2</v>
      </c>
    </row>
    <row r="251">
      <c r="A251" s="8">
        <v>250.0</v>
      </c>
      <c r="B251" s="15">
        <v>0.003</v>
      </c>
      <c r="C251" s="8">
        <v>0.192</v>
      </c>
      <c r="D251" s="9">
        <f t="shared" si="1"/>
        <v>61.8</v>
      </c>
      <c r="E251" s="16">
        <f t="shared" si="2"/>
        <v>1.02</v>
      </c>
      <c r="F251" s="10">
        <f t="shared" si="3"/>
        <v>1.969536868</v>
      </c>
      <c r="G251" s="11">
        <f t="shared" si="4"/>
        <v>56.03</v>
      </c>
      <c r="H251" s="10">
        <f t="shared" si="5"/>
        <v>50.479</v>
      </c>
      <c r="I251" s="10">
        <f t="shared" si="6"/>
        <v>6.29</v>
      </c>
      <c r="J251" s="12">
        <f t="shared" si="7"/>
        <v>11.226</v>
      </c>
      <c r="K251" s="13">
        <f t="shared" si="8"/>
        <v>0.891</v>
      </c>
      <c r="L251" s="10">
        <f t="shared" si="9"/>
        <v>0.165</v>
      </c>
      <c r="M251" s="10">
        <f t="shared" si="10"/>
        <v>0.02055313404</v>
      </c>
      <c r="N251" s="14">
        <f t="shared" si="11"/>
        <v>2.31</v>
      </c>
      <c r="O251" s="9">
        <f t="shared" si="12"/>
        <v>539</v>
      </c>
      <c r="P251" s="9">
        <f t="shared" si="13"/>
        <v>46.38</v>
      </c>
    </row>
    <row r="252">
      <c r="A252" s="8">
        <v>251.0</v>
      </c>
      <c r="B252" s="8">
        <v>0.002</v>
      </c>
      <c r="C252" s="8">
        <v>0.158</v>
      </c>
      <c r="D252" s="9">
        <f t="shared" si="1"/>
        <v>50.46</v>
      </c>
      <c r="E252" s="9">
        <f t="shared" si="2"/>
        <v>1.01</v>
      </c>
      <c r="F252" s="10">
        <f t="shared" si="3"/>
        <v>1.969498393</v>
      </c>
      <c r="G252" s="11">
        <f t="shared" si="4"/>
        <v>56</v>
      </c>
      <c r="H252" s="10">
        <f t="shared" si="5"/>
        <v>50.379</v>
      </c>
      <c r="I252" s="10">
        <f t="shared" si="6"/>
        <v>6.26</v>
      </c>
      <c r="J252" s="12">
        <f t="shared" si="7"/>
        <v>11.179</v>
      </c>
      <c r="K252" s="13">
        <f t="shared" si="8"/>
        <v>0.891</v>
      </c>
      <c r="L252" s="10">
        <f t="shared" si="9"/>
        <v>0.165</v>
      </c>
      <c r="M252" s="10">
        <f t="shared" si="10"/>
        <v>0.02051174999</v>
      </c>
      <c r="N252" s="14">
        <f t="shared" si="11"/>
        <v>2.3</v>
      </c>
      <c r="O252" s="9">
        <f t="shared" si="12"/>
        <v>539</v>
      </c>
      <c r="P252" s="9">
        <f t="shared" si="13"/>
        <v>46.57</v>
      </c>
    </row>
    <row r="253">
      <c r="A253" s="8">
        <v>252.0</v>
      </c>
      <c r="B253" s="8">
        <v>0.018</v>
      </c>
      <c r="C253" s="8">
        <v>0.583</v>
      </c>
      <c r="D253" s="9">
        <f t="shared" si="1"/>
        <v>151.39</v>
      </c>
      <c r="E253" s="9">
        <f t="shared" si="2"/>
        <v>0.67</v>
      </c>
      <c r="F253" s="10">
        <f t="shared" si="3"/>
        <v>1.969460227</v>
      </c>
      <c r="G253" s="11">
        <f t="shared" si="4"/>
        <v>56.38</v>
      </c>
      <c r="H253" s="10">
        <f t="shared" si="5"/>
        <v>50.636</v>
      </c>
      <c r="I253" s="10">
        <f t="shared" si="6"/>
        <v>6.28</v>
      </c>
      <c r="J253" s="12">
        <f t="shared" si="7"/>
        <v>11.139</v>
      </c>
      <c r="K253" s="13">
        <f t="shared" si="8"/>
        <v>0.89</v>
      </c>
      <c r="L253" s="10">
        <f t="shared" si="9"/>
        <v>0.165</v>
      </c>
      <c r="M253" s="10">
        <f t="shared" si="10"/>
        <v>0.02047061491</v>
      </c>
      <c r="N253" s="14">
        <f t="shared" si="11"/>
        <v>2.3</v>
      </c>
      <c r="O253" s="9">
        <f t="shared" si="12"/>
        <v>539</v>
      </c>
      <c r="P253" s="9">
        <f t="shared" si="13"/>
        <v>46.75</v>
      </c>
    </row>
    <row r="254">
      <c r="A254" s="8">
        <v>253.0</v>
      </c>
      <c r="B254" s="8">
        <v>0.003</v>
      </c>
      <c r="C254" s="8">
        <v>0.196</v>
      </c>
      <c r="D254" s="9">
        <f t="shared" si="1"/>
        <v>61.8</v>
      </c>
      <c r="E254" s="9">
        <f t="shared" si="2"/>
        <v>0.98</v>
      </c>
      <c r="F254" s="10">
        <f t="shared" si="3"/>
        <v>1.969422365</v>
      </c>
      <c r="G254" s="11">
        <f t="shared" si="4"/>
        <v>56.4</v>
      </c>
      <c r="H254" s="10">
        <f t="shared" si="5"/>
        <v>50.537</v>
      </c>
      <c r="I254" s="10">
        <f t="shared" si="6"/>
        <v>6.26</v>
      </c>
      <c r="J254" s="12">
        <f t="shared" si="7"/>
        <v>11.099</v>
      </c>
      <c r="K254" s="13">
        <f t="shared" si="8"/>
        <v>0.891</v>
      </c>
      <c r="L254" s="10">
        <f t="shared" si="9"/>
        <v>0.165</v>
      </c>
      <c r="M254" s="10">
        <f t="shared" si="10"/>
        <v>0.02042972634</v>
      </c>
      <c r="N254" s="14">
        <f t="shared" si="11"/>
        <v>2.29</v>
      </c>
      <c r="O254" s="9">
        <f t="shared" si="12"/>
        <v>539</v>
      </c>
      <c r="P254" s="9">
        <f t="shared" si="13"/>
        <v>46.94</v>
      </c>
    </row>
    <row r="255">
      <c r="A255" s="8">
        <v>254.0</v>
      </c>
      <c r="B255" s="15">
        <v>8.403E-4</v>
      </c>
      <c r="C255" s="8">
        <v>0.104</v>
      </c>
      <c r="D255" s="9">
        <f t="shared" si="1"/>
        <v>32.71</v>
      </c>
      <c r="E255" s="16">
        <f t="shared" si="2"/>
        <v>0.98</v>
      </c>
      <c r="F255" s="10">
        <f t="shared" si="3"/>
        <v>1.969384804</v>
      </c>
      <c r="G255" s="11">
        <f t="shared" si="4"/>
        <v>56.31</v>
      </c>
      <c r="H255" s="10">
        <f t="shared" si="5"/>
        <v>50.459</v>
      </c>
      <c r="I255" s="10">
        <f t="shared" si="6"/>
        <v>6.24</v>
      </c>
      <c r="J255" s="12">
        <f t="shared" si="7"/>
        <v>11.082</v>
      </c>
      <c r="K255" s="13">
        <f t="shared" si="8"/>
        <v>0.891</v>
      </c>
      <c r="L255" s="10">
        <f t="shared" si="9"/>
        <v>0.165</v>
      </c>
      <c r="M255" s="10">
        <f t="shared" si="10"/>
        <v>0.02038908181</v>
      </c>
      <c r="N255" s="14">
        <f t="shared" si="11"/>
        <v>2.29</v>
      </c>
      <c r="O255" s="9">
        <f t="shared" si="12"/>
        <v>539</v>
      </c>
      <c r="P255" s="9">
        <f t="shared" si="13"/>
        <v>47.12</v>
      </c>
    </row>
    <row r="256">
      <c r="A256" s="8">
        <v>255.0</v>
      </c>
      <c r="B256" s="15">
        <v>1.591E-4</v>
      </c>
      <c r="C256" s="8">
        <v>0.045</v>
      </c>
      <c r="D256" s="9">
        <f t="shared" si="1"/>
        <v>14.23</v>
      </c>
      <c r="E256" s="16">
        <f t="shared" si="2"/>
        <v>0.99</v>
      </c>
      <c r="F256" s="10">
        <f t="shared" si="3"/>
        <v>1.96934754</v>
      </c>
      <c r="G256" s="11">
        <f t="shared" si="4"/>
        <v>56.15</v>
      </c>
      <c r="H256" s="10">
        <f t="shared" si="5"/>
        <v>50.428</v>
      </c>
      <c r="I256" s="10">
        <f t="shared" si="6"/>
        <v>6.22</v>
      </c>
      <c r="J256" s="12">
        <f t="shared" si="7"/>
        <v>11.077</v>
      </c>
      <c r="K256" s="13">
        <f t="shared" si="8"/>
        <v>0.891</v>
      </c>
      <c r="L256" s="10">
        <f t="shared" si="9"/>
        <v>0.164</v>
      </c>
      <c r="M256" s="10">
        <f t="shared" si="10"/>
        <v>0.02022535358</v>
      </c>
      <c r="N256" s="14">
        <f t="shared" si="11"/>
        <v>2.27</v>
      </c>
      <c r="O256" s="9">
        <f t="shared" si="12"/>
        <v>539</v>
      </c>
      <c r="P256" s="9">
        <f t="shared" si="13"/>
        <v>47.31</v>
      </c>
    </row>
    <row r="257">
      <c r="A257" s="8">
        <v>256.0</v>
      </c>
      <c r="B257" s="8">
        <v>0.003</v>
      </c>
      <c r="C257" s="8">
        <v>0.189</v>
      </c>
      <c r="D257" s="9">
        <f t="shared" si="1"/>
        <v>61.8</v>
      </c>
      <c r="E257" s="9">
        <f t="shared" si="2"/>
        <v>1.06</v>
      </c>
      <c r="F257" s="10">
        <f t="shared" si="3"/>
        <v>1.96931057</v>
      </c>
      <c r="G257" s="11">
        <f t="shared" si="4"/>
        <v>56.17</v>
      </c>
      <c r="H257" s="10">
        <f t="shared" si="5"/>
        <v>50.331</v>
      </c>
      <c r="I257" s="10">
        <f t="shared" si="6"/>
        <v>6.19</v>
      </c>
      <c r="J257" s="12">
        <f t="shared" si="7"/>
        <v>11.02</v>
      </c>
      <c r="K257" s="13">
        <f t="shared" si="8"/>
        <v>0.892</v>
      </c>
      <c r="L257" s="10">
        <f t="shared" si="9"/>
        <v>0.164</v>
      </c>
      <c r="M257" s="10">
        <f t="shared" si="10"/>
        <v>0.02018543334</v>
      </c>
      <c r="N257" s="14">
        <f t="shared" si="11"/>
        <v>2.26</v>
      </c>
      <c r="O257" s="9">
        <f t="shared" si="12"/>
        <v>539</v>
      </c>
      <c r="P257" s="9">
        <f t="shared" si="13"/>
        <v>47.5</v>
      </c>
    </row>
    <row r="258">
      <c r="A258" s="8">
        <v>257.0</v>
      </c>
      <c r="B258" s="8">
        <v>0.001</v>
      </c>
      <c r="C258" s="8">
        <v>0.118</v>
      </c>
      <c r="D258" s="9">
        <f t="shared" si="1"/>
        <v>35.68</v>
      </c>
      <c r="E258" s="9">
        <f t="shared" si="2"/>
        <v>0.9</v>
      </c>
      <c r="F258" s="10">
        <f t="shared" si="3"/>
        <v>1.96927389</v>
      </c>
      <c r="G258" s="11">
        <f t="shared" si="4"/>
        <v>56.09</v>
      </c>
      <c r="H258" s="10">
        <f t="shared" si="5"/>
        <v>50.248</v>
      </c>
      <c r="I258" s="10">
        <f t="shared" si="6"/>
        <v>6.17</v>
      </c>
      <c r="J258" s="12">
        <f t="shared" si="7"/>
        <v>11</v>
      </c>
      <c r="K258" s="13">
        <f t="shared" si="8"/>
        <v>0.892</v>
      </c>
      <c r="L258" s="10">
        <f t="shared" si="9"/>
        <v>0.164</v>
      </c>
      <c r="M258" s="10">
        <f t="shared" si="10"/>
        <v>0.02014574855</v>
      </c>
      <c r="N258" s="14">
        <f t="shared" si="11"/>
        <v>2.26</v>
      </c>
      <c r="O258" s="9">
        <f t="shared" si="12"/>
        <v>539</v>
      </c>
      <c r="P258" s="9">
        <f t="shared" si="13"/>
        <v>47.68</v>
      </c>
    </row>
    <row r="259">
      <c r="A259" s="8">
        <v>258.0</v>
      </c>
      <c r="B259" s="15">
        <v>0.006</v>
      </c>
      <c r="C259" s="8">
        <v>0.29</v>
      </c>
      <c r="D259" s="9">
        <f t="shared" si="1"/>
        <v>87.4</v>
      </c>
      <c r="E259" s="16">
        <f t="shared" si="2"/>
        <v>0.9</v>
      </c>
      <c r="F259" s="10">
        <f t="shared" si="3"/>
        <v>1.969237496</v>
      </c>
      <c r="G259" s="11">
        <f t="shared" si="4"/>
        <v>56.21</v>
      </c>
      <c r="H259" s="10">
        <f t="shared" si="5"/>
        <v>50.188</v>
      </c>
      <c r="I259" s="10">
        <f t="shared" si="6"/>
        <v>6.15</v>
      </c>
      <c r="J259" s="12">
        <f t="shared" si="7"/>
        <v>10.941</v>
      </c>
      <c r="K259" s="13">
        <f t="shared" si="8"/>
        <v>0.892</v>
      </c>
      <c r="L259" s="10">
        <f t="shared" si="9"/>
        <v>0.164</v>
      </c>
      <c r="M259" s="10">
        <f t="shared" si="10"/>
        <v>0.02010629692</v>
      </c>
      <c r="N259" s="14">
        <f t="shared" si="11"/>
        <v>2.25</v>
      </c>
      <c r="O259" s="9">
        <f t="shared" si="12"/>
        <v>539</v>
      </c>
      <c r="P259" s="9">
        <f t="shared" si="13"/>
        <v>47.87</v>
      </c>
    </row>
    <row r="260">
      <c r="A260" s="8">
        <v>259.0</v>
      </c>
      <c r="B260" s="15">
        <v>3.055E-4</v>
      </c>
      <c r="C260" s="8">
        <v>0.061</v>
      </c>
      <c r="D260" s="9">
        <f t="shared" si="1"/>
        <v>19.72</v>
      </c>
      <c r="E260" s="16">
        <f t="shared" si="2"/>
        <v>1.03</v>
      </c>
      <c r="F260" s="10">
        <f t="shared" si="3"/>
        <v>1.969201386</v>
      </c>
      <c r="G260" s="11">
        <f t="shared" si="4"/>
        <v>56.07</v>
      </c>
      <c r="H260" s="10">
        <f t="shared" si="5"/>
        <v>50.142</v>
      </c>
      <c r="I260" s="10">
        <f t="shared" si="6"/>
        <v>6.14</v>
      </c>
      <c r="J260" s="12">
        <f t="shared" si="7"/>
        <v>10.951</v>
      </c>
      <c r="K260" s="13">
        <f t="shared" si="8"/>
        <v>0.893</v>
      </c>
      <c r="L260" s="10">
        <f t="shared" si="9"/>
        <v>0.164</v>
      </c>
      <c r="M260" s="10">
        <f t="shared" si="10"/>
        <v>0.02006707616</v>
      </c>
      <c r="N260" s="14">
        <f t="shared" si="11"/>
        <v>2.25</v>
      </c>
      <c r="O260" s="9">
        <f t="shared" si="12"/>
        <v>539</v>
      </c>
      <c r="P260" s="9">
        <f t="shared" si="13"/>
        <v>48.05</v>
      </c>
    </row>
    <row r="261">
      <c r="A261" s="8">
        <v>260.0</v>
      </c>
      <c r="B261" s="8">
        <v>0.004</v>
      </c>
      <c r="C261" s="8">
        <v>0.268</v>
      </c>
      <c r="D261" s="9">
        <f t="shared" si="1"/>
        <v>71.36</v>
      </c>
      <c r="E261" s="9">
        <f t="shared" si="2"/>
        <v>0.7</v>
      </c>
      <c r="F261" s="10">
        <f t="shared" si="3"/>
        <v>1.969165556</v>
      </c>
      <c r="G261" s="11">
        <f t="shared" si="4"/>
        <v>56.13</v>
      </c>
      <c r="H261" s="10">
        <f t="shared" si="5"/>
        <v>50.054</v>
      </c>
      <c r="I261" s="10">
        <f t="shared" si="6"/>
        <v>6.11</v>
      </c>
      <c r="J261" s="12">
        <f t="shared" si="7"/>
        <v>10.885</v>
      </c>
      <c r="K261" s="13">
        <f t="shared" si="8"/>
        <v>0.892</v>
      </c>
      <c r="L261" s="10">
        <f t="shared" si="9"/>
        <v>0.164</v>
      </c>
      <c r="M261" s="10">
        <f t="shared" si="10"/>
        <v>0.02002808403</v>
      </c>
      <c r="N261" s="14">
        <f t="shared" si="11"/>
        <v>2.25</v>
      </c>
      <c r="O261" s="9">
        <f t="shared" si="12"/>
        <v>539</v>
      </c>
      <c r="P261" s="9">
        <f t="shared" si="13"/>
        <v>48.24</v>
      </c>
    </row>
    <row r="262">
      <c r="A262" s="8">
        <v>261.0</v>
      </c>
      <c r="B262" s="15">
        <v>5.474E-4</v>
      </c>
      <c r="C262" s="8">
        <v>0.085</v>
      </c>
      <c r="D262" s="9">
        <f t="shared" si="1"/>
        <v>26.4</v>
      </c>
      <c r="E262" s="16">
        <f t="shared" si="2"/>
        <v>0.95</v>
      </c>
      <c r="F262" s="10">
        <f t="shared" si="3"/>
        <v>1.969130003</v>
      </c>
      <c r="G262" s="11">
        <f t="shared" si="4"/>
        <v>56.01</v>
      </c>
      <c r="H262" s="10">
        <f t="shared" si="5"/>
        <v>49.992</v>
      </c>
      <c r="I262" s="10">
        <f t="shared" si="6"/>
        <v>6.09</v>
      </c>
      <c r="J262" s="12">
        <f t="shared" si="7"/>
        <v>10.873</v>
      </c>
      <c r="K262" s="13">
        <f t="shared" si="8"/>
        <v>0.892</v>
      </c>
      <c r="L262" s="10">
        <f t="shared" si="9"/>
        <v>0.164</v>
      </c>
      <c r="M262" s="10">
        <f t="shared" si="10"/>
        <v>0.01998931832</v>
      </c>
      <c r="N262" s="14">
        <f t="shared" si="11"/>
        <v>2.24</v>
      </c>
      <c r="O262" s="9">
        <f t="shared" si="12"/>
        <v>539</v>
      </c>
      <c r="P262" s="9">
        <f t="shared" si="13"/>
        <v>48.42</v>
      </c>
    </row>
    <row r="263">
      <c r="A263" s="8">
        <v>262.0</v>
      </c>
      <c r="B263" s="8">
        <v>0.002</v>
      </c>
      <c r="C263" s="8">
        <v>0.178</v>
      </c>
      <c r="D263" s="9">
        <f t="shared" si="1"/>
        <v>50.46</v>
      </c>
      <c r="E263" s="9">
        <f t="shared" si="2"/>
        <v>0.79</v>
      </c>
      <c r="F263" s="10">
        <f t="shared" si="3"/>
        <v>1.969094724</v>
      </c>
      <c r="G263" s="11">
        <f t="shared" si="4"/>
        <v>55.99</v>
      </c>
      <c r="H263" s="10">
        <f t="shared" si="5"/>
        <v>49.897</v>
      </c>
      <c r="I263" s="10">
        <f t="shared" si="6"/>
        <v>6.07</v>
      </c>
      <c r="J263" s="12">
        <f t="shared" si="7"/>
        <v>10.841</v>
      </c>
      <c r="K263" s="13">
        <f t="shared" si="8"/>
        <v>0.892</v>
      </c>
      <c r="L263" s="10">
        <f t="shared" si="9"/>
        <v>0.163</v>
      </c>
      <c r="M263" s="10">
        <f t="shared" si="10"/>
        <v>0.01982912577</v>
      </c>
      <c r="N263" s="14">
        <f t="shared" si="11"/>
        <v>2.22</v>
      </c>
      <c r="O263" s="9">
        <f t="shared" si="12"/>
        <v>539</v>
      </c>
      <c r="P263" s="9">
        <f t="shared" si="13"/>
        <v>48.61</v>
      </c>
    </row>
    <row r="264">
      <c r="A264" s="8">
        <v>263.0</v>
      </c>
      <c r="B264" s="8">
        <v>0.003</v>
      </c>
      <c r="C264" s="8">
        <v>0.189</v>
      </c>
      <c r="D264" s="9">
        <f t="shared" si="1"/>
        <v>61.8</v>
      </c>
      <c r="E264" s="9">
        <f t="shared" si="2"/>
        <v>1.06</v>
      </c>
      <c r="F264" s="10">
        <f t="shared" si="3"/>
        <v>1.969059715</v>
      </c>
      <c r="G264" s="11">
        <f t="shared" si="4"/>
        <v>56.01</v>
      </c>
      <c r="H264" s="10">
        <f t="shared" si="5"/>
        <v>49.803</v>
      </c>
      <c r="I264" s="10">
        <f t="shared" si="6"/>
        <v>6.05</v>
      </c>
      <c r="J264" s="12">
        <f t="shared" si="7"/>
        <v>10.802</v>
      </c>
      <c r="K264" s="13">
        <f t="shared" si="8"/>
        <v>0.892</v>
      </c>
      <c r="L264" s="10">
        <f t="shared" si="9"/>
        <v>0.163</v>
      </c>
      <c r="M264" s="10">
        <f t="shared" si="10"/>
        <v>0.01979104003</v>
      </c>
      <c r="N264" s="14">
        <f t="shared" si="11"/>
        <v>2.22</v>
      </c>
      <c r="O264" s="9">
        <f t="shared" si="12"/>
        <v>539</v>
      </c>
      <c r="P264" s="9">
        <f t="shared" si="13"/>
        <v>48.79</v>
      </c>
    </row>
    <row r="265">
      <c r="A265" s="8">
        <v>264.0</v>
      </c>
      <c r="B265" s="15">
        <v>0.002</v>
      </c>
      <c r="C265" s="8">
        <v>0.177</v>
      </c>
      <c r="D265" s="9">
        <f t="shared" si="1"/>
        <v>50.46</v>
      </c>
      <c r="E265" s="16">
        <f t="shared" si="2"/>
        <v>0.8</v>
      </c>
      <c r="F265" s="10">
        <f t="shared" si="3"/>
        <v>1.969024974</v>
      </c>
      <c r="G265" s="11">
        <f t="shared" si="4"/>
        <v>55.99</v>
      </c>
      <c r="H265" s="10">
        <f t="shared" si="5"/>
        <v>49.71</v>
      </c>
      <c r="I265" s="10">
        <f t="shared" si="6"/>
        <v>6.02</v>
      </c>
      <c r="J265" s="12">
        <f t="shared" si="7"/>
        <v>10.752</v>
      </c>
      <c r="K265" s="13">
        <f t="shared" si="8"/>
        <v>0.892</v>
      </c>
      <c r="L265" s="10">
        <f t="shared" si="9"/>
        <v>0.163</v>
      </c>
      <c r="M265" s="10">
        <f t="shared" si="10"/>
        <v>0.01975317291</v>
      </c>
      <c r="N265" s="14">
        <f t="shared" si="11"/>
        <v>2.21</v>
      </c>
      <c r="O265" s="9">
        <f t="shared" si="12"/>
        <v>539</v>
      </c>
      <c r="P265" s="9">
        <f t="shared" si="13"/>
        <v>48.98</v>
      </c>
    </row>
    <row r="266">
      <c r="A266" s="8">
        <v>265.0</v>
      </c>
      <c r="B266" s="15">
        <v>3.692E-4</v>
      </c>
      <c r="C266" s="8">
        <v>0.069</v>
      </c>
      <c r="D266" s="9">
        <f t="shared" si="1"/>
        <v>21.68</v>
      </c>
      <c r="E266" s="16">
        <f t="shared" si="2"/>
        <v>0.97</v>
      </c>
      <c r="F266" s="10">
        <f t="shared" si="3"/>
        <v>1.968990497</v>
      </c>
      <c r="G266" s="11">
        <f t="shared" si="4"/>
        <v>55.86</v>
      </c>
      <c r="H266" s="10">
        <f t="shared" si="5"/>
        <v>49.66</v>
      </c>
      <c r="I266" s="10">
        <f t="shared" si="6"/>
        <v>6.01</v>
      </c>
      <c r="J266" s="12">
        <f t="shared" si="7"/>
        <v>10.759</v>
      </c>
      <c r="K266" s="13">
        <f t="shared" si="8"/>
        <v>0.892</v>
      </c>
      <c r="L266" s="10">
        <f t="shared" si="9"/>
        <v>0.163</v>
      </c>
      <c r="M266" s="10">
        <f t="shared" si="10"/>
        <v>0.01971552233</v>
      </c>
      <c r="N266" s="14">
        <f t="shared" si="11"/>
        <v>2.21</v>
      </c>
      <c r="O266" s="9">
        <f t="shared" si="12"/>
        <v>539</v>
      </c>
      <c r="P266" s="9">
        <f t="shared" si="13"/>
        <v>49.17</v>
      </c>
    </row>
    <row r="267">
      <c r="A267" s="8">
        <v>266.0</v>
      </c>
      <c r="B267" s="8">
        <v>0.001</v>
      </c>
      <c r="C267" s="8">
        <v>0.13</v>
      </c>
      <c r="D267" s="9">
        <f t="shared" si="1"/>
        <v>35.68</v>
      </c>
      <c r="E267" s="9">
        <f t="shared" si="2"/>
        <v>0.74</v>
      </c>
      <c r="F267" s="10">
        <f t="shared" si="3"/>
        <v>1.968956281</v>
      </c>
      <c r="G267" s="11">
        <f t="shared" si="4"/>
        <v>55.79</v>
      </c>
      <c r="H267" s="10">
        <f t="shared" si="5"/>
        <v>49.582</v>
      </c>
      <c r="I267" s="10">
        <f t="shared" si="6"/>
        <v>5.99</v>
      </c>
      <c r="J267" s="12">
        <f t="shared" si="7"/>
        <v>10.737</v>
      </c>
      <c r="K267" s="13">
        <f t="shared" si="8"/>
        <v>0.892</v>
      </c>
      <c r="L267" s="10">
        <f t="shared" si="9"/>
        <v>0.163</v>
      </c>
      <c r="M267" s="10">
        <f t="shared" si="10"/>
        <v>0.01967808623</v>
      </c>
      <c r="N267" s="14">
        <f t="shared" si="11"/>
        <v>2.21</v>
      </c>
      <c r="O267" s="9">
        <f t="shared" si="12"/>
        <v>539</v>
      </c>
      <c r="P267" s="9">
        <f t="shared" si="13"/>
        <v>49.35</v>
      </c>
    </row>
    <row r="268">
      <c r="A268" s="8">
        <v>267.0</v>
      </c>
      <c r="B268" s="8">
        <v>0.002</v>
      </c>
      <c r="C268" s="8">
        <v>0.175</v>
      </c>
      <c r="D268" s="9">
        <f t="shared" si="1"/>
        <v>50.46</v>
      </c>
      <c r="E268" s="9">
        <f t="shared" si="2"/>
        <v>0.82</v>
      </c>
      <c r="F268" s="10">
        <f t="shared" si="3"/>
        <v>1.968922324</v>
      </c>
      <c r="G268" s="11">
        <f t="shared" si="4"/>
        <v>55.77</v>
      </c>
      <c r="H268" s="10">
        <f t="shared" si="5"/>
        <v>49.49</v>
      </c>
      <c r="I268" s="10">
        <f t="shared" si="6"/>
        <v>5.96</v>
      </c>
      <c r="J268" s="12">
        <f t="shared" si="7"/>
        <v>10.687</v>
      </c>
      <c r="K268" s="13">
        <f t="shared" si="8"/>
        <v>0.891</v>
      </c>
      <c r="L268" s="10">
        <f t="shared" si="9"/>
        <v>0.163</v>
      </c>
      <c r="M268" s="10">
        <f t="shared" si="10"/>
        <v>0.01964086257</v>
      </c>
      <c r="N268" s="14">
        <f t="shared" si="11"/>
        <v>2.2</v>
      </c>
      <c r="O268" s="9">
        <f t="shared" si="12"/>
        <v>539</v>
      </c>
      <c r="P268" s="9">
        <f t="shared" si="13"/>
        <v>49.54</v>
      </c>
    </row>
    <row r="269">
      <c r="A269" s="8">
        <v>268.0</v>
      </c>
      <c r="B269" s="8">
        <v>0.009</v>
      </c>
      <c r="C269" s="8">
        <v>0.395</v>
      </c>
      <c r="D269" s="9">
        <f t="shared" si="1"/>
        <v>107.05</v>
      </c>
      <c r="E269" s="9">
        <f t="shared" si="2"/>
        <v>0.72</v>
      </c>
      <c r="F269" s="10">
        <f t="shared" si="3"/>
        <v>1.968888622</v>
      </c>
      <c r="G269" s="11">
        <f t="shared" si="4"/>
        <v>55.96</v>
      </c>
      <c r="H269" s="10">
        <f t="shared" si="5"/>
        <v>49.496</v>
      </c>
      <c r="I269" s="10">
        <f t="shared" si="6"/>
        <v>5.95</v>
      </c>
      <c r="J269" s="12">
        <f t="shared" si="7"/>
        <v>10.633</v>
      </c>
      <c r="K269" s="13">
        <f t="shared" si="8"/>
        <v>0.891</v>
      </c>
      <c r="L269" s="10">
        <f t="shared" si="9"/>
        <v>0.163</v>
      </c>
      <c r="M269" s="10">
        <f t="shared" si="10"/>
        <v>0.01960384936</v>
      </c>
      <c r="N269" s="14">
        <f t="shared" si="11"/>
        <v>2.2</v>
      </c>
      <c r="O269" s="9">
        <f t="shared" si="12"/>
        <v>539</v>
      </c>
      <c r="P269" s="9">
        <f t="shared" si="13"/>
        <v>49.72</v>
      </c>
    </row>
    <row r="270">
      <c r="A270" s="8">
        <v>269.0</v>
      </c>
      <c r="B270" s="15">
        <v>0.003</v>
      </c>
      <c r="C270" s="8">
        <v>0.199</v>
      </c>
      <c r="D270" s="9">
        <f t="shared" si="1"/>
        <v>61.8</v>
      </c>
      <c r="E270" s="16">
        <f t="shared" si="2"/>
        <v>0.95</v>
      </c>
      <c r="F270" s="10">
        <f t="shared" si="3"/>
        <v>1.968855173</v>
      </c>
      <c r="G270" s="11">
        <f t="shared" si="4"/>
        <v>55.98</v>
      </c>
      <c r="H270" s="10">
        <f t="shared" si="5"/>
        <v>49.405</v>
      </c>
      <c r="I270" s="10">
        <f t="shared" si="6"/>
        <v>5.93</v>
      </c>
      <c r="J270" s="12">
        <f t="shared" si="7"/>
        <v>10.593</v>
      </c>
      <c r="K270" s="13">
        <f t="shared" si="8"/>
        <v>0.891</v>
      </c>
      <c r="L270" s="10">
        <f t="shared" si="9"/>
        <v>0.162</v>
      </c>
      <c r="M270" s="10">
        <f t="shared" si="10"/>
        <v>0.01944700141</v>
      </c>
      <c r="N270" s="14">
        <f t="shared" si="11"/>
        <v>2.18</v>
      </c>
      <c r="O270" s="9">
        <f t="shared" si="12"/>
        <v>539</v>
      </c>
      <c r="P270" s="9">
        <f t="shared" si="13"/>
        <v>49.91</v>
      </c>
    </row>
    <row r="271">
      <c r="A271" s="8">
        <v>270.0</v>
      </c>
      <c r="B271" s="8">
        <v>0.001</v>
      </c>
      <c r="C271" s="8">
        <v>0.131</v>
      </c>
      <c r="D271" s="9">
        <f t="shared" si="1"/>
        <v>35.68</v>
      </c>
      <c r="E271" s="9">
        <f t="shared" si="2"/>
        <v>0.73</v>
      </c>
      <c r="F271" s="10">
        <f t="shared" si="3"/>
        <v>1.968821974</v>
      </c>
      <c r="G271" s="11">
        <f t="shared" si="4"/>
        <v>55.91</v>
      </c>
      <c r="H271" s="10">
        <f t="shared" si="5"/>
        <v>49.328</v>
      </c>
      <c r="I271" s="10">
        <f t="shared" si="6"/>
        <v>5.91</v>
      </c>
      <c r="J271" s="12">
        <f t="shared" si="7"/>
        <v>10.571</v>
      </c>
      <c r="K271" s="13">
        <f t="shared" si="8"/>
        <v>0.89</v>
      </c>
      <c r="L271" s="10">
        <f t="shared" si="9"/>
        <v>0.162</v>
      </c>
      <c r="M271" s="10">
        <f t="shared" si="10"/>
        <v>0.01941062772</v>
      </c>
      <c r="N271" s="14">
        <f t="shared" si="11"/>
        <v>2.18</v>
      </c>
      <c r="O271" s="9">
        <f t="shared" si="12"/>
        <v>539</v>
      </c>
      <c r="P271" s="9">
        <f t="shared" si="13"/>
        <v>50.09</v>
      </c>
    </row>
    <row r="272">
      <c r="A272" s="8">
        <v>271.0</v>
      </c>
      <c r="B272" s="15">
        <v>3.819E-4</v>
      </c>
      <c r="C272" s="8">
        <v>0.072</v>
      </c>
      <c r="D272" s="9">
        <f t="shared" si="1"/>
        <v>22.05</v>
      </c>
      <c r="E272" s="16">
        <f t="shared" si="2"/>
        <v>0.93</v>
      </c>
      <c r="F272" s="10">
        <f t="shared" si="3"/>
        <v>1.968789022</v>
      </c>
      <c r="G272" s="11">
        <f t="shared" si="4"/>
        <v>55.78</v>
      </c>
      <c r="H272" s="10">
        <f t="shared" si="5"/>
        <v>49.28</v>
      </c>
      <c r="I272" s="10">
        <f t="shared" si="6"/>
        <v>5.89</v>
      </c>
      <c r="J272" s="12">
        <f t="shared" si="7"/>
        <v>10.559</v>
      </c>
      <c r="K272" s="13">
        <f t="shared" si="8"/>
        <v>0.891</v>
      </c>
      <c r="L272" s="10">
        <f t="shared" si="9"/>
        <v>0.162</v>
      </c>
      <c r="M272" s="10">
        <f t="shared" si="10"/>
        <v>0.01937445738</v>
      </c>
      <c r="N272" s="14">
        <f t="shared" si="11"/>
        <v>2.17</v>
      </c>
      <c r="O272" s="9">
        <f t="shared" si="12"/>
        <v>539</v>
      </c>
      <c r="P272" s="9">
        <f t="shared" si="13"/>
        <v>50.28</v>
      </c>
    </row>
    <row r="273">
      <c r="A273" s="8">
        <v>272.0</v>
      </c>
      <c r="B273" s="8">
        <v>0.003</v>
      </c>
      <c r="C273" s="8">
        <v>0.196</v>
      </c>
      <c r="D273" s="9">
        <f t="shared" si="1"/>
        <v>61.8</v>
      </c>
      <c r="E273" s="9">
        <f t="shared" si="2"/>
        <v>0.98</v>
      </c>
      <c r="F273" s="10">
        <f t="shared" si="3"/>
        <v>1.968756314</v>
      </c>
      <c r="G273" s="11">
        <f t="shared" si="4"/>
        <v>55.8</v>
      </c>
      <c r="H273" s="10">
        <f t="shared" si="5"/>
        <v>49.19</v>
      </c>
      <c r="I273" s="10">
        <f t="shared" si="6"/>
        <v>5.87</v>
      </c>
      <c r="J273" s="12">
        <f t="shared" si="7"/>
        <v>10.52</v>
      </c>
      <c r="K273" s="13">
        <f t="shared" si="8"/>
        <v>0.891</v>
      </c>
      <c r="L273" s="10">
        <f t="shared" si="9"/>
        <v>0.162</v>
      </c>
      <c r="M273" s="10">
        <f t="shared" si="10"/>
        <v>0.0193384885</v>
      </c>
      <c r="N273" s="14">
        <f t="shared" si="11"/>
        <v>2.17</v>
      </c>
      <c r="O273" s="9">
        <f t="shared" si="12"/>
        <v>539</v>
      </c>
      <c r="P273" s="9">
        <f t="shared" si="13"/>
        <v>50.46</v>
      </c>
    </row>
    <row r="274">
      <c r="A274" s="8">
        <v>273.0</v>
      </c>
      <c r="B274" s="15">
        <v>0.004</v>
      </c>
      <c r="C274" s="8">
        <v>0.222</v>
      </c>
      <c r="D274" s="9">
        <f t="shared" si="1"/>
        <v>71.36</v>
      </c>
      <c r="E274" s="16">
        <f t="shared" si="2"/>
        <v>1.02</v>
      </c>
      <c r="F274" s="10">
        <f t="shared" si="3"/>
        <v>1.968723847</v>
      </c>
      <c r="G274" s="11">
        <f t="shared" si="4"/>
        <v>55.86</v>
      </c>
      <c r="H274" s="10">
        <f t="shared" si="5"/>
        <v>49.109</v>
      </c>
      <c r="I274" s="10">
        <f t="shared" si="6"/>
        <v>5.85</v>
      </c>
      <c r="J274" s="12">
        <f t="shared" si="7"/>
        <v>10.473</v>
      </c>
      <c r="K274" s="13">
        <f t="shared" si="8"/>
        <v>0.891</v>
      </c>
      <c r="L274" s="10">
        <f t="shared" si="9"/>
        <v>0.162</v>
      </c>
      <c r="M274" s="10">
        <f t="shared" si="10"/>
        <v>0.0193027192</v>
      </c>
      <c r="N274" s="14">
        <f t="shared" si="11"/>
        <v>2.17</v>
      </c>
      <c r="O274" s="9">
        <f t="shared" si="12"/>
        <v>539</v>
      </c>
      <c r="P274" s="9">
        <f t="shared" si="13"/>
        <v>50.65</v>
      </c>
    </row>
    <row r="275">
      <c r="A275" s="8">
        <v>274.0</v>
      </c>
      <c r="B275" s="15">
        <v>6.748E-4</v>
      </c>
      <c r="C275" s="8">
        <v>0.093</v>
      </c>
      <c r="D275" s="9">
        <f t="shared" si="1"/>
        <v>29.31</v>
      </c>
      <c r="E275" s="16">
        <f t="shared" si="2"/>
        <v>0.98</v>
      </c>
      <c r="F275" s="10">
        <f t="shared" si="3"/>
        <v>1.96869162</v>
      </c>
      <c r="G275" s="11">
        <f t="shared" si="4"/>
        <v>55.76</v>
      </c>
      <c r="H275" s="10">
        <f t="shared" si="5"/>
        <v>49.045</v>
      </c>
      <c r="I275" s="10">
        <f t="shared" si="6"/>
        <v>5.83</v>
      </c>
      <c r="J275" s="12">
        <f t="shared" si="7"/>
        <v>10.456</v>
      </c>
      <c r="K275" s="13">
        <f t="shared" si="8"/>
        <v>0.892</v>
      </c>
      <c r="L275" s="10">
        <f t="shared" si="9"/>
        <v>0.162</v>
      </c>
      <c r="M275" s="10">
        <f t="shared" si="10"/>
        <v>0.01926714766</v>
      </c>
      <c r="N275" s="14">
        <f t="shared" si="11"/>
        <v>2.16</v>
      </c>
      <c r="O275" s="9">
        <f t="shared" si="12"/>
        <v>539</v>
      </c>
      <c r="P275" s="9">
        <f t="shared" si="13"/>
        <v>50.83</v>
      </c>
    </row>
    <row r="276">
      <c r="A276" s="8">
        <v>275.0</v>
      </c>
      <c r="B276" s="8">
        <v>0.003</v>
      </c>
      <c r="C276" s="8">
        <v>0.201</v>
      </c>
      <c r="D276" s="9">
        <f t="shared" si="1"/>
        <v>61.8</v>
      </c>
      <c r="E276" s="9">
        <f t="shared" si="2"/>
        <v>0.93</v>
      </c>
      <c r="F276" s="10">
        <f t="shared" si="3"/>
        <v>1.968659628</v>
      </c>
      <c r="G276" s="11">
        <f t="shared" si="4"/>
        <v>55.78</v>
      </c>
      <c r="H276" s="10">
        <f t="shared" si="5"/>
        <v>48.957</v>
      </c>
      <c r="I276" s="10">
        <f t="shared" si="6"/>
        <v>5.81</v>
      </c>
      <c r="J276" s="12">
        <f t="shared" si="7"/>
        <v>10.416</v>
      </c>
      <c r="K276" s="13">
        <f t="shared" si="8"/>
        <v>0.892</v>
      </c>
      <c r="L276" s="10">
        <f t="shared" si="9"/>
        <v>0.161</v>
      </c>
      <c r="M276" s="10">
        <f t="shared" si="10"/>
        <v>0.01911305741</v>
      </c>
      <c r="N276" s="14">
        <f t="shared" si="11"/>
        <v>2.14</v>
      </c>
      <c r="O276" s="9">
        <f t="shared" si="12"/>
        <v>539</v>
      </c>
      <c r="P276" s="9">
        <f t="shared" si="13"/>
        <v>51.02</v>
      </c>
    </row>
    <row r="277">
      <c r="A277" s="8">
        <v>276.0</v>
      </c>
      <c r="B277" s="8">
        <v>0.005</v>
      </c>
      <c r="C277" s="8">
        <v>0.247</v>
      </c>
      <c r="D277" s="9">
        <f t="shared" si="1"/>
        <v>79.79</v>
      </c>
      <c r="E277" s="9">
        <f t="shared" si="2"/>
        <v>1.03</v>
      </c>
      <c r="F277" s="10">
        <f t="shared" si="3"/>
        <v>1.968627871</v>
      </c>
      <c r="G277" s="11">
        <f t="shared" si="4"/>
        <v>55.87</v>
      </c>
      <c r="H277" s="10">
        <f t="shared" si="5"/>
        <v>48.889</v>
      </c>
      <c r="I277" s="10">
        <f t="shared" si="6"/>
        <v>5.79</v>
      </c>
      <c r="J277" s="12">
        <f t="shared" si="7"/>
        <v>10.363</v>
      </c>
      <c r="K277" s="13">
        <f t="shared" si="8"/>
        <v>0.892</v>
      </c>
      <c r="L277" s="10">
        <f t="shared" si="9"/>
        <v>0.161</v>
      </c>
      <c r="M277" s="10">
        <f t="shared" si="10"/>
        <v>0.01907809312</v>
      </c>
      <c r="N277" s="14">
        <f t="shared" si="11"/>
        <v>2.14</v>
      </c>
      <c r="O277" s="9">
        <f t="shared" si="12"/>
        <v>539</v>
      </c>
      <c r="P277" s="9">
        <f t="shared" si="13"/>
        <v>51.21</v>
      </c>
    </row>
    <row r="278">
      <c r="A278" s="8">
        <v>277.0</v>
      </c>
      <c r="B278" s="8">
        <v>0.005</v>
      </c>
      <c r="C278" s="8">
        <v>0.25</v>
      </c>
      <c r="D278" s="9">
        <f t="shared" si="1"/>
        <v>79.79</v>
      </c>
      <c r="E278" s="9">
        <f t="shared" si="2"/>
        <v>1.01</v>
      </c>
      <c r="F278" s="10">
        <f t="shared" si="3"/>
        <v>1.968596344</v>
      </c>
      <c r="G278" s="11">
        <f t="shared" si="4"/>
        <v>55.96</v>
      </c>
      <c r="H278" s="10">
        <f t="shared" si="5"/>
        <v>48.822</v>
      </c>
      <c r="I278" s="10">
        <f t="shared" si="6"/>
        <v>5.77</v>
      </c>
      <c r="J278" s="12">
        <f t="shared" si="7"/>
        <v>10.311</v>
      </c>
      <c r="K278" s="13">
        <f t="shared" si="8"/>
        <v>0.893</v>
      </c>
      <c r="L278" s="10">
        <f t="shared" si="9"/>
        <v>0.161</v>
      </c>
      <c r="M278" s="10">
        <f t="shared" si="10"/>
        <v>0.01904332002</v>
      </c>
      <c r="N278" s="14">
        <f t="shared" si="11"/>
        <v>2.13</v>
      </c>
      <c r="O278" s="9">
        <f t="shared" si="12"/>
        <v>539</v>
      </c>
      <c r="P278" s="9">
        <f t="shared" si="13"/>
        <v>51.39</v>
      </c>
    </row>
    <row r="279">
      <c r="A279" s="8">
        <v>278.0</v>
      </c>
      <c r="B279" s="15">
        <v>9.039E-4</v>
      </c>
      <c r="C279" s="8">
        <v>0.111</v>
      </c>
      <c r="D279" s="9">
        <f t="shared" si="1"/>
        <v>33.92</v>
      </c>
      <c r="E279" s="16">
        <f t="shared" si="2"/>
        <v>0.92</v>
      </c>
      <c r="F279" s="10">
        <f t="shared" si="3"/>
        <v>1.968565046</v>
      </c>
      <c r="G279" s="11">
        <f t="shared" si="4"/>
        <v>55.88</v>
      </c>
      <c r="H279" s="10">
        <f t="shared" si="5"/>
        <v>48.751</v>
      </c>
      <c r="I279" s="10">
        <f t="shared" si="6"/>
        <v>5.76</v>
      </c>
      <c r="J279" s="12">
        <f t="shared" si="7"/>
        <v>10.308</v>
      </c>
      <c r="K279" s="13">
        <f t="shared" si="8"/>
        <v>0.893</v>
      </c>
      <c r="L279" s="10">
        <f t="shared" si="9"/>
        <v>0.161</v>
      </c>
      <c r="M279" s="10">
        <f t="shared" si="10"/>
        <v>0.01900873637</v>
      </c>
      <c r="N279" s="14">
        <f t="shared" si="11"/>
        <v>2.13</v>
      </c>
      <c r="O279" s="9">
        <f t="shared" si="12"/>
        <v>539</v>
      </c>
      <c r="P279" s="9">
        <f t="shared" si="13"/>
        <v>51.58</v>
      </c>
    </row>
    <row r="280">
      <c r="A280" s="8">
        <v>279.0</v>
      </c>
      <c r="B280" s="15">
        <v>8.403E-4</v>
      </c>
      <c r="C280" s="8">
        <v>0.104</v>
      </c>
      <c r="D280" s="9">
        <f t="shared" si="1"/>
        <v>32.71</v>
      </c>
      <c r="E280" s="16">
        <f t="shared" si="2"/>
        <v>0.98</v>
      </c>
      <c r="F280" s="10">
        <f t="shared" si="3"/>
        <v>1.968533975</v>
      </c>
      <c r="G280" s="11">
        <f t="shared" si="4"/>
        <v>55.8</v>
      </c>
      <c r="H280" s="10">
        <f t="shared" si="5"/>
        <v>48.683</v>
      </c>
      <c r="I280" s="10">
        <f t="shared" si="6"/>
        <v>5.74</v>
      </c>
      <c r="J280" s="12">
        <f t="shared" si="7"/>
        <v>10.287</v>
      </c>
      <c r="K280" s="13">
        <f t="shared" si="8"/>
        <v>0.893</v>
      </c>
      <c r="L280" s="10">
        <f t="shared" si="9"/>
        <v>0.161</v>
      </c>
      <c r="M280" s="10">
        <f t="shared" si="10"/>
        <v>0.01897434046</v>
      </c>
      <c r="N280" s="14">
        <f t="shared" si="11"/>
        <v>2.12</v>
      </c>
      <c r="O280" s="9">
        <f t="shared" si="12"/>
        <v>539</v>
      </c>
      <c r="P280" s="9">
        <f t="shared" si="13"/>
        <v>51.76</v>
      </c>
    </row>
    <row r="281">
      <c r="A281" s="8">
        <v>280.0</v>
      </c>
      <c r="B281" s="15">
        <v>0.002</v>
      </c>
      <c r="C281" s="8">
        <v>0.158</v>
      </c>
      <c r="D281" s="9">
        <f t="shared" si="1"/>
        <v>50.46</v>
      </c>
      <c r="E281" s="16">
        <f t="shared" si="2"/>
        <v>1.01</v>
      </c>
      <c r="F281" s="10">
        <f t="shared" si="3"/>
        <v>1.968503127</v>
      </c>
      <c r="G281" s="11">
        <f t="shared" si="4"/>
        <v>55.78</v>
      </c>
      <c r="H281" s="10">
        <f t="shared" si="5"/>
        <v>48.597</v>
      </c>
      <c r="I281" s="10">
        <f t="shared" si="6"/>
        <v>5.72</v>
      </c>
      <c r="J281" s="12">
        <f t="shared" si="7"/>
        <v>10.255</v>
      </c>
      <c r="K281" s="13">
        <f t="shared" si="8"/>
        <v>0.894</v>
      </c>
      <c r="L281" s="10">
        <f t="shared" si="9"/>
        <v>0.16</v>
      </c>
      <c r="M281" s="10">
        <f t="shared" si="10"/>
        <v>0.01882249004</v>
      </c>
      <c r="N281" s="14">
        <f t="shared" si="11"/>
        <v>2.11</v>
      </c>
      <c r="O281" s="9">
        <f t="shared" si="12"/>
        <v>539</v>
      </c>
      <c r="P281" s="9">
        <f t="shared" si="13"/>
        <v>51.95</v>
      </c>
    </row>
    <row r="282">
      <c r="A282" s="8">
        <v>281.0</v>
      </c>
      <c r="B282" s="15">
        <v>0.002</v>
      </c>
      <c r="C282" s="8">
        <v>0.142</v>
      </c>
      <c r="D282" s="9">
        <f t="shared" si="1"/>
        <v>50.46</v>
      </c>
      <c r="E282" s="16">
        <f t="shared" si="2"/>
        <v>1.25</v>
      </c>
      <c r="F282" s="10">
        <f t="shared" si="3"/>
        <v>1.9684725</v>
      </c>
      <c r="G282" s="11">
        <f t="shared" si="4"/>
        <v>55.76</v>
      </c>
      <c r="H282" s="10">
        <f t="shared" si="5"/>
        <v>48.511</v>
      </c>
      <c r="I282" s="10">
        <f t="shared" si="6"/>
        <v>5.7</v>
      </c>
      <c r="J282" s="12">
        <f t="shared" si="7"/>
        <v>10.222</v>
      </c>
      <c r="K282" s="13">
        <f t="shared" si="8"/>
        <v>0.895</v>
      </c>
      <c r="L282" s="10">
        <f t="shared" si="9"/>
        <v>0.162</v>
      </c>
      <c r="M282" s="10">
        <f t="shared" si="10"/>
        <v>0.01902353433</v>
      </c>
      <c r="N282" s="14">
        <f t="shared" si="11"/>
        <v>2.13</v>
      </c>
      <c r="O282" s="9">
        <f t="shared" si="12"/>
        <v>539</v>
      </c>
      <c r="P282" s="9">
        <f t="shared" si="13"/>
        <v>52.13</v>
      </c>
    </row>
    <row r="283">
      <c r="A283" s="8">
        <v>282.0</v>
      </c>
      <c r="B283" s="15">
        <v>0.003</v>
      </c>
      <c r="C283" s="8">
        <v>0.203</v>
      </c>
      <c r="D283" s="9">
        <f t="shared" si="1"/>
        <v>61.8</v>
      </c>
      <c r="E283" s="16">
        <f t="shared" si="2"/>
        <v>0.91</v>
      </c>
      <c r="F283" s="10">
        <f t="shared" si="3"/>
        <v>1.968442092</v>
      </c>
      <c r="G283" s="11">
        <f t="shared" si="4"/>
        <v>55.78</v>
      </c>
      <c r="H283" s="10">
        <f t="shared" si="5"/>
        <v>48.426</v>
      </c>
      <c r="I283" s="10">
        <f t="shared" si="6"/>
        <v>5.68</v>
      </c>
      <c r="J283" s="12">
        <f t="shared" si="7"/>
        <v>10.183</v>
      </c>
      <c r="K283" s="13">
        <f t="shared" si="8"/>
        <v>0.895</v>
      </c>
      <c r="L283" s="10">
        <f t="shared" si="9"/>
        <v>0.161</v>
      </c>
      <c r="M283" s="10">
        <f t="shared" si="10"/>
        <v>0.01887226234</v>
      </c>
      <c r="N283" s="14">
        <f t="shared" si="11"/>
        <v>2.11</v>
      </c>
      <c r="O283" s="9">
        <f t="shared" si="12"/>
        <v>539</v>
      </c>
      <c r="P283" s="9">
        <f t="shared" si="13"/>
        <v>52.32</v>
      </c>
    </row>
    <row r="284">
      <c r="A284" s="8">
        <v>283.0</v>
      </c>
      <c r="B284" s="15">
        <v>4.965E-4</v>
      </c>
      <c r="C284" s="8">
        <v>0.08</v>
      </c>
      <c r="D284" s="9">
        <f t="shared" si="1"/>
        <v>25.14</v>
      </c>
      <c r="E284" s="16">
        <f t="shared" si="2"/>
        <v>0.97</v>
      </c>
      <c r="F284" s="10">
        <f t="shared" si="3"/>
        <v>1.968411901</v>
      </c>
      <c r="G284" s="11">
        <f t="shared" si="4"/>
        <v>55.67</v>
      </c>
      <c r="H284" s="10">
        <f t="shared" si="5"/>
        <v>48.375</v>
      </c>
      <c r="I284" s="10">
        <f t="shared" si="6"/>
        <v>5.66</v>
      </c>
      <c r="J284" s="12">
        <f t="shared" si="7"/>
        <v>10.167</v>
      </c>
      <c r="K284" s="13">
        <f t="shared" si="8"/>
        <v>0.895</v>
      </c>
      <c r="L284" s="10">
        <f t="shared" si="9"/>
        <v>0.161</v>
      </c>
      <c r="M284" s="10">
        <f t="shared" si="10"/>
        <v>0.01883860067</v>
      </c>
      <c r="N284" s="14">
        <f t="shared" si="11"/>
        <v>2.1</v>
      </c>
      <c r="O284" s="9">
        <f t="shared" si="12"/>
        <v>539</v>
      </c>
      <c r="P284" s="9">
        <f t="shared" si="13"/>
        <v>52.5</v>
      </c>
    </row>
    <row r="285">
      <c r="A285" s="8">
        <v>284.0</v>
      </c>
      <c r="B285" s="15">
        <v>0.002</v>
      </c>
      <c r="C285" s="8">
        <v>0.165</v>
      </c>
      <c r="D285" s="9">
        <f t="shared" si="1"/>
        <v>50.46</v>
      </c>
      <c r="E285" s="16">
        <f t="shared" si="2"/>
        <v>0.92</v>
      </c>
      <c r="F285" s="10">
        <f t="shared" si="3"/>
        <v>1.968381923</v>
      </c>
      <c r="G285" s="11">
        <f t="shared" si="4"/>
        <v>55.65</v>
      </c>
      <c r="H285" s="10">
        <f t="shared" si="5"/>
        <v>48.29</v>
      </c>
      <c r="I285" s="10">
        <f t="shared" si="6"/>
        <v>5.64</v>
      </c>
      <c r="J285" s="12">
        <f t="shared" si="7"/>
        <v>10.135</v>
      </c>
      <c r="K285" s="13">
        <f t="shared" si="8"/>
        <v>0.895</v>
      </c>
      <c r="L285" s="10">
        <f t="shared" si="9"/>
        <v>0.161</v>
      </c>
      <c r="M285" s="10">
        <f t="shared" si="10"/>
        <v>0.01880511848</v>
      </c>
      <c r="N285" s="14">
        <f t="shared" si="11"/>
        <v>2.1</v>
      </c>
      <c r="O285" s="9">
        <f t="shared" si="12"/>
        <v>539</v>
      </c>
      <c r="P285" s="9">
        <f t="shared" si="13"/>
        <v>52.69</v>
      </c>
    </row>
    <row r="286">
      <c r="A286" s="8">
        <v>285.0</v>
      </c>
      <c r="B286" s="8">
        <v>0.001</v>
      </c>
      <c r="C286" s="8">
        <v>0.116</v>
      </c>
      <c r="D286" s="9">
        <f t="shared" si="1"/>
        <v>35.68</v>
      </c>
      <c r="E286" s="9">
        <f t="shared" si="2"/>
        <v>0.93</v>
      </c>
      <c r="F286" s="10">
        <f t="shared" si="3"/>
        <v>1.968352158</v>
      </c>
      <c r="G286" s="11">
        <f t="shared" si="4"/>
        <v>55.58</v>
      </c>
      <c r="H286" s="10">
        <f t="shared" si="5"/>
        <v>48.219</v>
      </c>
      <c r="I286" s="10">
        <f t="shared" si="6"/>
        <v>5.62</v>
      </c>
      <c r="J286" s="12">
        <f t="shared" si="7"/>
        <v>10.112</v>
      </c>
      <c r="K286" s="13">
        <f t="shared" si="8"/>
        <v>0.895</v>
      </c>
      <c r="L286" s="10">
        <f t="shared" si="9"/>
        <v>0.161</v>
      </c>
      <c r="M286" s="10">
        <f t="shared" si="10"/>
        <v>0.01877181419</v>
      </c>
      <c r="N286" s="14">
        <f t="shared" si="11"/>
        <v>2.1</v>
      </c>
      <c r="O286" s="9">
        <f t="shared" si="12"/>
        <v>539</v>
      </c>
      <c r="P286" s="9">
        <f t="shared" si="13"/>
        <v>52.88</v>
      </c>
    </row>
    <row r="287">
      <c r="A287" s="8">
        <v>286.0</v>
      </c>
      <c r="B287" s="15">
        <v>9.676E-4</v>
      </c>
      <c r="C287" s="8">
        <v>0.113</v>
      </c>
      <c r="D287" s="9">
        <f t="shared" si="1"/>
        <v>35.1</v>
      </c>
      <c r="E287" s="16">
        <f t="shared" si="2"/>
        <v>0.95</v>
      </c>
      <c r="F287" s="10">
        <f t="shared" si="3"/>
        <v>1.968322603</v>
      </c>
      <c r="G287" s="11">
        <f t="shared" si="4"/>
        <v>55.51</v>
      </c>
      <c r="H287" s="10">
        <f t="shared" si="5"/>
        <v>48.15</v>
      </c>
      <c r="I287" s="10">
        <f t="shared" si="6"/>
        <v>5.6</v>
      </c>
      <c r="J287" s="12">
        <f t="shared" si="7"/>
        <v>10.088</v>
      </c>
      <c r="K287" s="13">
        <f t="shared" si="8"/>
        <v>0.896</v>
      </c>
      <c r="L287" s="10">
        <f t="shared" si="9"/>
        <v>0.16</v>
      </c>
      <c r="M287" s="10">
        <f t="shared" si="10"/>
        <v>0.01862229687</v>
      </c>
      <c r="N287" s="14">
        <f t="shared" si="11"/>
        <v>2.08</v>
      </c>
      <c r="O287" s="9">
        <f t="shared" si="12"/>
        <v>539</v>
      </c>
      <c r="P287" s="9">
        <f t="shared" si="13"/>
        <v>53.06</v>
      </c>
    </row>
    <row r="288">
      <c r="A288" s="8">
        <v>287.0</v>
      </c>
      <c r="B288" s="15">
        <v>3.947E-4</v>
      </c>
      <c r="C288" s="8">
        <v>0.072</v>
      </c>
      <c r="D288" s="9">
        <f t="shared" si="1"/>
        <v>22.42</v>
      </c>
      <c r="E288" s="16">
        <f t="shared" si="2"/>
        <v>0.96</v>
      </c>
      <c r="F288" s="10">
        <f t="shared" si="3"/>
        <v>1.968293255</v>
      </c>
      <c r="G288" s="11">
        <f t="shared" si="4"/>
        <v>55.4</v>
      </c>
      <c r="H288" s="10">
        <f t="shared" si="5"/>
        <v>48.105</v>
      </c>
      <c r="I288" s="10">
        <f t="shared" si="6"/>
        <v>5.59</v>
      </c>
      <c r="J288" s="12">
        <f t="shared" si="7"/>
        <v>10.09</v>
      </c>
      <c r="K288" s="13">
        <f t="shared" si="8"/>
        <v>0.896</v>
      </c>
      <c r="L288" s="10">
        <f t="shared" si="9"/>
        <v>0.16</v>
      </c>
      <c r="M288" s="10">
        <f t="shared" si="10"/>
        <v>0.01858954836</v>
      </c>
      <c r="N288" s="14">
        <f t="shared" si="11"/>
        <v>2.07</v>
      </c>
      <c r="O288" s="9">
        <f t="shared" si="12"/>
        <v>539</v>
      </c>
      <c r="P288" s="9">
        <f t="shared" si="13"/>
        <v>53.25</v>
      </c>
    </row>
    <row r="289">
      <c r="A289" s="8">
        <v>288.0</v>
      </c>
      <c r="B289" s="15">
        <v>6.302E-4</v>
      </c>
      <c r="C289" s="8">
        <v>0.09</v>
      </c>
      <c r="D289" s="9">
        <f t="shared" si="1"/>
        <v>28.33</v>
      </c>
      <c r="E289" s="16">
        <f t="shared" si="2"/>
        <v>0.98</v>
      </c>
      <c r="F289" s="10">
        <f t="shared" si="3"/>
        <v>1.968264113</v>
      </c>
      <c r="G289" s="11">
        <f t="shared" si="4"/>
        <v>55.3</v>
      </c>
      <c r="H289" s="10">
        <f t="shared" si="5"/>
        <v>48.048</v>
      </c>
      <c r="I289" s="10">
        <f t="shared" si="6"/>
        <v>5.57</v>
      </c>
      <c r="J289" s="12">
        <f t="shared" si="7"/>
        <v>10.072</v>
      </c>
      <c r="K289" s="13">
        <f t="shared" si="8"/>
        <v>0.896</v>
      </c>
      <c r="L289" s="10">
        <f t="shared" si="9"/>
        <v>0.16</v>
      </c>
      <c r="M289" s="10">
        <f t="shared" si="10"/>
        <v>0.01855697202</v>
      </c>
      <c r="N289" s="14">
        <f t="shared" si="11"/>
        <v>2.07</v>
      </c>
      <c r="O289" s="9">
        <f t="shared" si="12"/>
        <v>539</v>
      </c>
      <c r="P289" s="9">
        <f t="shared" si="13"/>
        <v>53.43</v>
      </c>
    </row>
    <row r="290">
      <c r="A290" s="8">
        <v>289.0</v>
      </c>
      <c r="B290" s="15">
        <v>0.003</v>
      </c>
      <c r="C290" s="8">
        <v>0.222</v>
      </c>
      <c r="D290" s="9">
        <f t="shared" si="1"/>
        <v>61.8</v>
      </c>
      <c r="E290" s="16">
        <f t="shared" si="2"/>
        <v>0.76</v>
      </c>
      <c r="F290" s="10">
        <f t="shared" si="3"/>
        <v>1.968235174</v>
      </c>
      <c r="G290" s="11">
        <f t="shared" si="4"/>
        <v>55.32</v>
      </c>
      <c r="H290" s="10">
        <f t="shared" si="5"/>
        <v>47.966</v>
      </c>
      <c r="I290" s="10">
        <f t="shared" si="6"/>
        <v>5.55</v>
      </c>
      <c r="J290" s="12">
        <f t="shared" si="7"/>
        <v>10.033</v>
      </c>
      <c r="K290" s="13">
        <f t="shared" si="8"/>
        <v>0.896</v>
      </c>
      <c r="L290" s="10">
        <f t="shared" si="9"/>
        <v>0.16</v>
      </c>
      <c r="M290" s="10">
        <f t="shared" si="10"/>
        <v>0.01852456634</v>
      </c>
      <c r="N290" s="14">
        <f t="shared" si="11"/>
        <v>2.07</v>
      </c>
      <c r="O290" s="9">
        <f t="shared" si="12"/>
        <v>539</v>
      </c>
      <c r="P290" s="9">
        <f t="shared" si="13"/>
        <v>53.62</v>
      </c>
    </row>
    <row r="291">
      <c r="A291" s="8">
        <v>290.0</v>
      </c>
      <c r="B291" s="15">
        <v>2.164E-4</v>
      </c>
      <c r="C291" s="8">
        <v>0.052</v>
      </c>
      <c r="D291" s="9">
        <f t="shared" si="1"/>
        <v>16.6</v>
      </c>
      <c r="E291" s="16">
        <f t="shared" si="2"/>
        <v>1.01</v>
      </c>
      <c r="F291" s="10">
        <f t="shared" si="3"/>
        <v>1.968206436</v>
      </c>
      <c r="G291" s="11">
        <f t="shared" si="4"/>
        <v>55.19</v>
      </c>
      <c r="H291" s="10">
        <f t="shared" si="5"/>
        <v>47.937</v>
      </c>
      <c r="I291" s="10">
        <f t="shared" si="6"/>
        <v>5.54</v>
      </c>
      <c r="J291" s="12">
        <f t="shared" si="7"/>
        <v>10.038</v>
      </c>
      <c r="K291" s="13">
        <f t="shared" si="8"/>
        <v>0.896</v>
      </c>
      <c r="L291" s="10">
        <f t="shared" si="9"/>
        <v>0.16</v>
      </c>
      <c r="M291" s="10">
        <f t="shared" si="10"/>
        <v>0.01849232984</v>
      </c>
      <c r="N291" s="14">
        <f t="shared" si="11"/>
        <v>2.06</v>
      </c>
      <c r="O291" s="9">
        <f t="shared" si="12"/>
        <v>539</v>
      </c>
      <c r="P291" s="9">
        <f t="shared" si="13"/>
        <v>53.8</v>
      </c>
    </row>
    <row r="292">
      <c r="A292" s="8">
        <v>291.0</v>
      </c>
      <c r="B292" s="15">
        <v>0.005</v>
      </c>
      <c r="C292" s="8">
        <v>0.269</v>
      </c>
      <c r="D292" s="9">
        <f t="shared" si="1"/>
        <v>79.79</v>
      </c>
      <c r="E292" s="16">
        <f t="shared" si="2"/>
        <v>0.87</v>
      </c>
      <c r="F292" s="10">
        <f t="shared" si="3"/>
        <v>1.968177896</v>
      </c>
      <c r="G292" s="11">
        <f t="shared" si="4"/>
        <v>55.27</v>
      </c>
      <c r="H292" s="10">
        <f t="shared" si="5"/>
        <v>47.876</v>
      </c>
      <c r="I292" s="10">
        <f t="shared" si="6"/>
        <v>5.52</v>
      </c>
      <c r="J292" s="12">
        <f t="shared" si="7"/>
        <v>9.987</v>
      </c>
      <c r="K292" s="13">
        <f t="shared" si="8"/>
        <v>0.896</v>
      </c>
      <c r="L292" s="10">
        <f t="shared" si="9"/>
        <v>0.159</v>
      </c>
      <c r="M292" s="10">
        <f t="shared" si="10"/>
        <v>0.01834488442</v>
      </c>
      <c r="N292" s="14">
        <f t="shared" si="11"/>
        <v>2.05</v>
      </c>
      <c r="O292" s="9">
        <f t="shared" si="12"/>
        <v>539</v>
      </c>
      <c r="P292" s="9">
        <f t="shared" si="13"/>
        <v>53.99</v>
      </c>
    </row>
    <row r="293">
      <c r="A293" s="8">
        <v>292.0</v>
      </c>
      <c r="B293" s="15">
        <v>1.4E-4</v>
      </c>
      <c r="C293" s="8">
        <v>0.04</v>
      </c>
      <c r="D293" s="9">
        <f t="shared" si="1"/>
        <v>13.35</v>
      </c>
      <c r="E293" s="16">
        <f t="shared" si="2"/>
        <v>1.1</v>
      </c>
      <c r="F293" s="10">
        <f t="shared" si="3"/>
        <v>1.968149554</v>
      </c>
      <c r="G293" s="11">
        <f t="shared" si="4"/>
        <v>55.13</v>
      </c>
      <c r="H293" s="10">
        <f t="shared" si="5"/>
        <v>47.857</v>
      </c>
      <c r="I293" s="10">
        <f t="shared" si="6"/>
        <v>5.51</v>
      </c>
      <c r="J293" s="12">
        <f t="shared" si="7"/>
        <v>9.995</v>
      </c>
      <c r="K293" s="13">
        <f t="shared" si="8"/>
        <v>0.897</v>
      </c>
      <c r="L293" s="10">
        <f t="shared" si="9"/>
        <v>0.16</v>
      </c>
      <c r="M293" s="10">
        <f t="shared" si="10"/>
        <v>0.01842835853</v>
      </c>
      <c r="N293" s="14">
        <f t="shared" si="11"/>
        <v>2.05</v>
      </c>
      <c r="O293" s="9">
        <f t="shared" si="12"/>
        <v>539</v>
      </c>
      <c r="P293" s="9">
        <f t="shared" si="13"/>
        <v>54.17</v>
      </c>
    </row>
    <row r="294">
      <c r="A294" s="8">
        <v>293.0</v>
      </c>
      <c r="B294" s="8">
        <v>0.002</v>
      </c>
      <c r="C294" s="8">
        <v>0.174</v>
      </c>
      <c r="D294" s="9">
        <f t="shared" si="1"/>
        <v>50.46</v>
      </c>
      <c r="E294" s="9">
        <f t="shared" si="2"/>
        <v>0.83</v>
      </c>
      <c r="F294" s="10">
        <f t="shared" si="3"/>
        <v>1.968121407</v>
      </c>
      <c r="G294" s="11">
        <f t="shared" si="4"/>
        <v>55.12</v>
      </c>
      <c r="H294" s="10">
        <f t="shared" si="5"/>
        <v>47.775</v>
      </c>
      <c r="I294" s="10">
        <f t="shared" si="6"/>
        <v>5.49</v>
      </c>
      <c r="J294" s="12">
        <f t="shared" si="7"/>
        <v>9.96</v>
      </c>
      <c r="K294" s="13">
        <f t="shared" si="8"/>
        <v>0.896</v>
      </c>
      <c r="L294" s="10">
        <f t="shared" si="9"/>
        <v>0.159</v>
      </c>
      <c r="M294" s="10">
        <f t="shared" si="10"/>
        <v>0.01828164196</v>
      </c>
      <c r="N294" s="14">
        <f t="shared" si="11"/>
        <v>2.04</v>
      </c>
      <c r="O294" s="9">
        <f t="shared" si="12"/>
        <v>539</v>
      </c>
      <c r="P294" s="9">
        <f t="shared" si="13"/>
        <v>54.36</v>
      </c>
    </row>
    <row r="295">
      <c r="A295" s="8">
        <v>294.0</v>
      </c>
      <c r="B295" s="15">
        <v>7.448E-4</v>
      </c>
      <c r="C295" s="8">
        <v>0.097</v>
      </c>
      <c r="D295" s="9">
        <f t="shared" si="1"/>
        <v>30.79</v>
      </c>
      <c r="E295" s="16">
        <f t="shared" si="2"/>
        <v>0.99</v>
      </c>
      <c r="F295" s="10">
        <f t="shared" si="3"/>
        <v>1.968093453</v>
      </c>
      <c r="G295" s="11">
        <f t="shared" si="4"/>
        <v>55.03</v>
      </c>
      <c r="H295" s="10">
        <f t="shared" si="5"/>
        <v>47.715</v>
      </c>
      <c r="I295" s="10">
        <f t="shared" si="6"/>
        <v>5.48</v>
      </c>
      <c r="J295" s="12">
        <f t="shared" si="7"/>
        <v>9.958</v>
      </c>
      <c r="K295" s="13">
        <f t="shared" si="8"/>
        <v>0.897</v>
      </c>
      <c r="L295" s="10">
        <f t="shared" si="9"/>
        <v>0.159</v>
      </c>
      <c r="M295" s="10">
        <f t="shared" si="10"/>
        <v>0.01825026503</v>
      </c>
      <c r="N295" s="14">
        <f t="shared" si="11"/>
        <v>2.03</v>
      </c>
      <c r="O295" s="9">
        <f t="shared" si="12"/>
        <v>539</v>
      </c>
      <c r="P295" s="9">
        <f t="shared" si="13"/>
        <v>54.55</v>
      </c>
    </row>
    <row r="296">
      <c r="A296" s="8">
        <v>295.0</v>
      </c>
      <c r="B296" s="15">
        <v>0.003</v>
      </c>
      <c r="C296" s="8">
        <v>0.184</v>
      </c>
      <c r="D296" s="9">
        <f t="shared" si="1"/>
        <v>61.8</v>
      </c>
      <c r="E296" s="16">
        <f t="shared" si="2"/>
        <v>1.11</v>
      </c>
      <c r="F296" s="10">
        <f t="shared" si="3"/>
        <v>1.968065689</v>
      </c>
      <c r="G296" s="11">
        <f t="shared" si="4"/>
        <v>55.06</v>
      </c>
      <c r="H296" s="10">
        <f t="shared" si="5"/>
        <v>47.635</v>
      </c>
      <c r="I296" s="10">
        <f t="shared" si="6"/>
        <v>5.46</v>
      </c>
      <c r="J296" s="12">
        <f t="shared" si="7"/>
        <v>9.916</v>
      </c>
      <c r="K296" s="13">
        <f t="shared" si="8"/>
        <v>0.897</v>
      </c>
      <c r="L296" s="10">
        <f t="shared" si="9"/>
        <v>0.159</v>
      </c>
      <c r="M296" s="10">
        <f t="shared" si="10"/>
        <v>0.0182190491</v>
      </c>
      <c r="N296" s="14">
        <f t="shared" si="11"/>
        <v>2.03</v>
      </c>
      <c r="O296" s="9">
        <f t="shared" si="12"/>
        <v>539</v>
      </c>
      <c r="P296" s="9">
        <f t="shared" si="13"/>
        <v>54.73</v>
      </c>
    </row>
    <row r="297">
      <c r="A297" s="8">
        <v>296.0</v>
      </c>
      <c r="B297" s="8">
        <v>0.004</v>
      </c>
      <c r="C297" s="8">
        <v>0.239</v>
      </c>
      <c r="D297" s="9">
        <f t="shared" si="1"/>
        <v>71.36</v>
      </c>
      <c r="E297" s="9">
        <f t="shared" si="2"/>
        <v>0.88</v>
      </c>
      <c r="F297" s="10">
        <f t="shared" si="3"/>
        <v>1.968038115</v>
      </c>
      <c r="G297" s="11">
        <f t="shared" si="4"/>
        <v>55.11</v>
      </c>
      <c r="H297" s="10">
        <f t="shared" si="5"/>
        <v>47.564</v>
      </c>
      <c r="I297" s="10">
        <f t="shared" si="6"/>
        <v>5.44</v>
      </c>
      <c r="J297" s="12">
        <f t="shared" si="7"/>
        <v>9.871</v>
      </c>
      <c r="K297" s="13">
        <f t="shared" si="8"/>
        <v>0.897</v>
      </c>
      <c r="L297" s="10">
        <f t="shared" si="9"/>
        <v>0.159</v>
      </c>
      <c r="M297" s="10">
        <f t="shared" si="10"/>
        <v>0.01818799281</v>
      </c>
      <c r="N297" s="14">
        <f t="shared" si="11"/>
        <v>2.03</v>
      </c>
      <c r="O297" s="9">
        <f t="shared" si="12"/>
        <v>539</v>
      </c>
      <c r="P297" s="9">
        <f t="shared" si="13"/>
        <v>54.92</v>
      </c>
    </row>
    <row r="298">
      <c r="A298" s="8">
        <v>297.0</v>
      </c>
      <c r="B298" s="15">
        <v>0.005</v>
      </c>
      <c r="C298" s="8">
        <v>0.268</v>
      </c>
      <c r="D298" s="9">
        <f t="shared" si="1"/>
        <v>79.79</v>
      </c>
      <c r="E298" s="16">
        <f t="shared" si="2"/>
        <v>0.87</v>
      </c>
      <c r="F298" s="10">
        <f t="shared" si="3"/>
        <v>1.968010728</v>
      </c>
      <c r="G298" s="11">
        <f t="shared" si="4"/>
        <v>55.19</v>
      </c>
      <c r="H298" s="10">
        <f t="shared" si="5"/>
        <v>47.505</v>
      </c>
      <c r="I298" s="10">
        <f t="shared" si="6"/>
        <v>5.42</v>
      </c>
      <c r="J298" s="12">
        <f t="shared" si="7"/>
        <v>9.821</v>
      </c>
      <c r="K298" s="13">
        <f t="shared" si="8"/>
        <v>0.897</v>
      </c>
      <c r="L298" s="10">
        <f t="shared" si="9"/>
        <v>0.159</v>
      </c>
      <c r="M298" s="10">
        <f t="shared" si="10"/>
        <v>0.0181570948</v>
      </c>
      <c r="N298" s="14">
        <f t="shared" si="11"/>
        <v>2.02</v>
      </c>
      <c r="O298" s="9">
        <f t="shared" si="12"/>
        <v>539</v>
      </c>
      <c r="P298" s="9">
        <f t="shared" si="13"/>
        <v>55.1</v>
      </c>
    </row>
    <row r="299">
      <c r="A299" s="8">
        <v>298.0</v>
      </c>
      <c r="B299" s="8">
        <v>0.003</v>
      </c>
      <c r="C299" s="8">
        <v>0.203</v>
      </c>
      <c r="D299" s="9">
        <f t="shared" si="1"/>
        <v>61.8</v>
      </c>
      <c r="E299" s="9">
        <f t="shared" si="2"/>
        <v>0.91</v>
      </c>
      <c r="F299" s="10">
        <f t="shared" si="3"/>
        <v>1.967983525</v>
      </c>
      <c r="G299" s="11">
        <f t="shared" si="4"/>
        <v>55.22</v>
      </c>
      <c r="H299" s="10">
        <f t="shared" si="5"/>
        <v>47.427</v>
      </c>
      <c r="I299" s="10">
        <f t="shared" si="6"/>
        <v>5.41</v>
      </c>
      <c r="J299" s="12">
        <f t="shared" si="7"/>
        <v>9.797</v>
      </c>
      <c r="K299" s="13">
        <f t="shared" si="8"/>
        <v>0.897</v>
      </c>
      <c r="L299" s="10">
        <f t="shared" si="9"/>
        <v>0.159</v>
      </c>
      <c r="M299" s="10">
        <f t="shared" si="10"/>
        <v>0.01812635373</v>
      </c>
      <c r="N299" s="14">
        <f t="shared" si="11"/>
        <v>2.02</v>
      </c>
      <c r="O299" s="9">
        <f t="shared" si="12"/>
        <v>539</v>
      </c>
      <c r="P299" s="9">
        <f t="shared" si="13"/>
        <v>55.29</v>
      </c>
    </row>
    <row r="300">
      <c r="A300" s="8">
        <v>299.0</v>
      </c>
      <c r="B300" s="8">
        <v>0.003</v>
      </c>
      <c r="C300" s="8">
        <v>0.208</v>
      </c>
      <c r="D300" s="9">
        <f t="shared" si="1"/>
        <v>61.8</v>
      </c>
      <c r="E300" s="9">
        <f t="shared" si="2"/>
        <v>0.87</v>
      </c>
      <c r="F300" s="10">
        <f t="shared" si="3"/>
        <v>1.967956506</v>
      </c>
      <c r="G300" s="11">
        <f t="shared" si="4"/>
        <v>55.24</v>
      </c>
      <c r="H300" s="10">
        <f t="shared" si="5"/>
        <v>47.348</v>
      </c>
      <c r="I300" s="10">
        <f t="shared" si="6"/>
        <v>5.39</v>
      </c>
      <c r="J300" s="12">
        <f t="shared" si="7"/>
        <v>9.757</v>
      </c>
      <c r="K300" s="13">
        <f t="shared" si="8"/>
        <v>0.897</v>
      </c>
      <c r="L300" s="10">
        <f t="shared" si="9"/>
        <v>0.158</v>
      </c>
      <c r="M300" s="10">
        <f t="shared" si="10"/>
        <v>0.0179819584</v>
      </c>
      <c r="N300" s="14">
        <f t="shared" si="11"/>
        <v>2</v>
      </c>
      <c r="O300" s="9">
        <f t="shared" si="12"/>
        <v>539</v>
      </c>
      <c r="P300" s="9">
        <f t="shared" si="13"/>
        <v>55.47</v>
      </c>
    </row>
    <row r="301">
      <c r="A301" s="8">
        <v>300.0</v>
      </c>
      <c r="B301" s="15">
        <v>7.193E-4</v>
      </c>
      <c r="C301" s="8">
        <v>0.097</v>
      </c>
      <c r="D301" s="9">
        <f t="shared" si="1"/>
        <v>30.26</v>
      </c>
      <c r="E301" s="16">
        <f t="shared" si="2"/>
        <v>0.96</v>
      </c>
      <c r="F301" s="10">
        <f t="shared" si="3"/>
        <v>1.967929669</v>
      </c>
      <c r="G301" s="11">
        <f t="shared" si="4"/>
        <v>55.15</v>
      </c>
      <c r="H301" s="10">
        <f t="shared" si="5"/>
        <v>47.291</v>
      </c>
      <c r="I301" s="10">
        <f t="shared" si="6"/>
        <v>5.37</v>
      </c>
      <c r="J301" s="12">
        <f t="shared" si="7"/>
        <v>9.737</v>
      </c>
      <c r="K301" s="13">
        <f t="shared" si="8"/>
        <v>0.898</v>
      </c>
      <c r="L301" s="10">
        <f t="shared" si="9"/>
        <v>0.158</v>
      </c>
      <c r="M301" s="10">
        <f t="shared" si="10"/>
        <v>0.01795171864</v>
      </c>
      <c r="N301" s="14">
        <f t="shared" si="11"/>
        <v>2</v>
      </c>
      <c r="O301" s="9">
        <f t="shared" si="12"/>
        <v>539</v>
      </c>
      <c r="P301" s="9">
        <f t="shared" si="13"/>
        <v>55.66</v>
      </c>
    </row>
    <row r="302">
      <c r="A302" s="8">
        <v>301.0</v>
      </c>
      <c r="B302" s="15">
        <v>0.001</v>
      </c>
      <c r="C302" s="8">
        <v>0.125</v>
      </c>
      <c r="D302" s="9">
        <f t="shared" si="1"/>
        <v>35.68</v>
      </c>
      <c r="E302" s="16">
        <f t="shared" si="2"/>
        <v>0.8</v>
      </c>
      <c r="F302" s="10">
        <f t="shared" si="3"/>
        <v>1.967903011</v>
      </c>
      <c r="G302" s="11">
        <f t="shared" si="4"/>
        <v>55.09</v>
      </c>
      <c r="H302" s="10">
        <f t="shared" si="5"/>
        <v>47.226</v>
      </c>
      <c r="I302" s="10">
        <f t="shared" si="6"/>
        <v>5.36</v>
      </c>
      <c r="J302" s="12">
        <f t="shared" si="7"/>
        <v>9.73</v>
      </c>
      <c r="K302" s="13">
        <f t="shared" si="8"/>
        <v>0.897</v>
      </c>
      <c r="L302" s="10">
        <f t="shared" si="9"/>
        <v>0.158</v>
      </c>
      <c r="M302" s="10">
        <f t="shared" si="10"/>
        <v>0.01792163093</v>
      </c>
      <c r="N302" s="14">
        <f t="shared" si="11"/>
        <v>2</v>
      </c>
      <c r="O302" s="9">
        <f t="shared" si="12"/>
        <v>539</v>
      </c>
      <c r="P302" s="9">
        <f t="shared" si="13"/>
        <v>55.84</v>
      </c>
    </row>
    <row r="303">
      <c r="A303" s="8">
        <v>302.0</v>
      </c>
      <c r="B303" s="15">
        <v>0.003</v>
      </c>
      <c r="C303" s="8">
        <v>0.198</v>
      </c>
      <c r="D303" s="9">
        <f t="shared" si="1"/>
        <v>61.8</v>
      </c>
      <c r="E303" s="16">
        <f t="shared" si="2"/>
        <v>0.96</v>
      </c>
      <c r="F303" s="10">
        <f t="shared" si="3"/>
        <v>1.967876531</v>
      </c>
      <c r="G303" s="11">
        <f t="shared" si="4"/>
        <v>55.11</v>
      </c>
      <c r="H303" s="10">
        <f t="shared" si="5"/>
        <v>47.149</v>
      </c>
      <c r="I303" s="10">
        <f t="shared" si="6"/>
        <v>5.34</v>
      </c>
      <c r="J303" s="12">
        <f t="shared" si="7"/>
        <v>9.69</v>
      </c>
      <c r="K303" s="13">
        <f t="shared" si="8"/>
        <v>0.897</v>
      </c>
      <c r="L303" s="10">
        <f t="shared" si="9"/>
        <v>0.158</v>
      </c>
      <c r="M303" s="10">
        <f t="shared" si="10"/>
        <v>0.017891694</v>
      </c>
      <c r="N303" s="14">
        <f t="shared" si="11"/>
        <v>1.99</v>
      </c>
      <c r="O303" s="9">
        <f t="shared" si="12"/>
        <v>539</v>
      </c>
      <c r="P303" s="9">
        <f t="shared" si="13"/>
        <v>56.03</v>
      </c>
    </row>
    <row r="304">
      <c r="A304" s="8">
        <v>303.0</v>
      </c>
      <c r="B304" s="15">
        <v>2.355E-4</v>
      </c>
      <c r="C304" s="8">
        <v>0.053</v>
      </c>
      <c r="D304" s="9">
        <f t="shared" si="1"/>
        <v>17.32</v>
      </c>
      <c r="E304" s="16">
        <f t="shared" si="2"/>
        <v>1.05</v>
      </c>
      <c r="F304" s="10">
        <f t="shared" si="3"/>
        <v>1.967850227</v>
      </c>
      <c r="G304" s="11">
        <f t="shared" si="4"/>
        <v>54.99</v>
      </c>
      <c r="H304" s="10">
        <f t="shared" si="5"/>
        <v>47.121</v>
      </c>
      <c r="I304" s="10">
        <f t="shared" si="6"/>
        <v>5.33</v>
      </c>
      <c r="J304" s="12">
        <f t="shared" si="7"/>
        <v>9.693</v>
      </c>
      <c r="K304" s="13">
        <f t="shared" si="8"/>
        <v>0.898</v>
      </c>
      <c r="L304" s="10">
        <f t="shared" si="9"/>
        <v>0.158</v>
      </c>
      <c r="M304" s="10">
        <f t="shared" si="10"/>
        <v>0.0178619066</v>
      </c>
      <c r="N304" s="14">
        <f t="shared" si="11"/>
        <v>1.99</v>
      </c>
      <c r="O304" s="9">
        <f t="shared" si="12"/>
        <v>539</v>
      </c>
      <c r="P304" s="9">
        <f t="shared" si="13"/>
        <v>56.22</v>
      </c>
    </row>
    <row r="305">
      <c r="A305" s="8">
        <v>304.0</v>
      </c>
      <c r="B305" s="15">
        <v>8.594E-4</v>
      </c>
      <c r="C305" s="8">
        <v>0.105</v>
      </c>
      <c r="D305" s="9">
        <f t="shared" si="1"/>
        <v>33.08</v>
      </c>
      <c r="E305" s="16">
        <f t="shared" si="2"/>
        <v>0.98</v>
      </c>
      <c r="F305" s="10">
        <f t="shared" si="3"/>
        <v>1.967824098</v>
      </c>
      <c r="G305" s="11">
        <f t="shared" si="4"/>
        <v>54.92</v>
      </c>
      <c r="H305" s="10">
        <f t="shared" si="5"/>
        <v>47.06</v>
      </c>
      <c r="I305" s="10">
        <f t="shared" si="6"/>
        <v>5.31</v>
      </c>
      <c r="J305" s="12">
        <f t="shared" si="7"/>
        <v>9.669</v>
      </c>
      <c r="K305" s="13">
        <f t="shared" si="8"/>
        <v>0.898</v>
      </c>
      <c r="L305" s="10">
        <f t="shared" si="9"/>
        <v>0.157</v>
      </c>
      <c r="M305" s="10">
        <f t="shared" si="10"/>
        <v>0.01771940502</v>
      </c>
      <c r="N305" s="14">
        <f t="shared" si="11"/>
        <v>1.97</v>
      </c>
      <c r="O305" s="9">
        <f t="shared" si="12"/>
        <v>539</v>
      </c>
      <c r="P305" s="9">
        <f t="shared" si="13"/>
        <v>56.4</v>
      </c>
    </row>
    <row r="306">
      <c r="A306" s="8">
        <v>305.0</v>
      </c>
      <c r="B306" s="8">
        <v>1.05</v>
      </c>
      <c r="C306" s="8">
        <v>5.085</v>
      </c>
      <c r="D306" s="9">
        <f t="shared" si="1"/>
        <v>1156.24</v>
      </c>
      <c r="E306" s="9">
        <f t="shared" si="2"/>
        <v>0.51</v>
      </c>
      <c r="F306" s="10">
        <f t="shared" si="3"/>
        <v>1.967798141</v>
      </c>
      <c r="G306" s="11">
        <f t="shared" si="4"/>
        <v>58.53</v>
      </c>
      <c r="H306" s="10">
        <f t="shared" si="5"/>
        <v>78.639</v>
      </c>
      <c r="I306" s="10">
        <f t="shared" si="6"/>
        <v>8.86</v>
      </c>
      <c r="J306" s="12">
        <f t="shared" si="7"/>
        <v>15.138</v>
      </c>
      <c r="K306" s="13">
        <f t="shared" si="8"/>
        <v>0.897</v>
      </c>
      <c r="L306" s="10">
        <f t="shared" si="9"/>
        <v>0.159</v>
      </c>
      <c r="M306" s="10">
        <f t="shared" si="10"/>
        <v>0.01791545121</v>
      </c>
      <c r="N306" s="14">
        <f t="shared" si="11"/>
        <v>2</v>
      </c>
      <c r="O306" s="9">
        <f t="shared" si="12"/>
        <v>539</v>
      </c>
      <c r="P306" s="9">
        <f t="shared" si="13"/>
        <v>56.59</v>
      </c>
    </row>
    <row r="307">
      <c r="A307" s="8">
        <v>306.0</v>
      </c>
      <c r="B307" s="15">
        <v>4.392E-4</v>
      </c>
      <c r="C307" s="8">
        <v>0.073</v>
      </c>
      <c r="D307" s="9">
        <f t="shared" si="1"/>
        <v>23.65</v>
      </c>
      <c r="E307" s="16">
        <f t="shared" si="2"/>
        <v>1.04</v>
      </c>
      <c r="F307" s="10">
        <f t="shared" si="3"/>
        <v>1.967772355</v>
      </c>
      <c r="G307" s="11">
        <f t="shared" si="4"/>
        <v>58.41</v>
      </c>
      <c r="H307" s="10">
        <f t="shared" si="5"/>
        <v>78.535</v>
      </c>
      <c r="I307" s="10">
        <f t="shared" si="6"/>
        <v>8.83</v>
      </c>
      <c r="J307" s="12">
        <f t="shared" si="7"/>
        <v>15.117</v>
      </c>
      <c r="K307" s="13">
        <f t="shared" si="8"/>
        <v>0.897</v>
      </c>
      <c r="L307" s="10">
        <f t="shared" si="9"/>
        <v>0.159</v>
      </c>
      <c r="M307" s="10">
        <f t="shared" si="10"/>
        <v>0.01788591926</v>
      </c>
      <c r="N307" s="14">
        <f t="shared" si="11"/>
        <v>1.99</v>
      </c>
      <c r="O307" s="9">
        <f t="shared" si="12"/>
        <v>539</v>
      </c>
      <c r="P307" s="9">
        <f t="shared" si="13"/>
        <v>56.77</v>
      </c>
    </row>
    <row r="308">
      <c r="A308" s="8">
        <v>307.0</v>
      </c>
      <c r="B308" s="15">
        <v>8.084E-4</v>
      </c>
      <c r="C308" s="8">
        <v>0.101</v>
      </c>
      <c r="D308" s="9">
        <f t="shared" si="1"/>
        <v>32.08</v>
      </c>
      <c r="E308" s="16">
        <f t="shared" si="2"/>
        <v>1</v>
      </c>
      <c r="F308" s="10">
        <f t="shared" si="3"/>
        <v>1.967746738</v>
      </c>
      <c r="G308" s="11">
        <f t="shared" si="4"/>
        <v>58.33</v>
      </c>
      <c r="H308" s="10">
        <f t="shared" si="5"/>
        <v>78.421</v>
      </c>
      <c r="I308" s="10">
        <f t="shared" si="6"/>
        <v>8.81</v>
      </c>
      <c r="J308" s="12">
        <f t="shared" si="7"/>
        <v>15.104</v>
      </c>
      <c r="K308" s="13">
        <f t="shared" si="8"/>
        <v>0.898</v>
      </c>
      <c r="L308" s="10">
        <f t="shared" si="9"/>
        <v>0.159</v>
      </c>
      <c r="M308" s="10">
        <f t="shared" si="10"/>
        <v>0.01785653287</v>
      </c>
      <c r="N308" s="14">
        <f t="shared" si="11"/>
        <v>1.99</v>
      </c>
      <c r="O308" s="9">
        <f t="shared" si="12"/>
        <v>539</v>
      </c>
      <c r="P308" s="9">
        <f t="shared" si="13"/>
        <v>56.96</v>
      </c>
    </row>
    <row r="309">
      <c r="A309" s="8">
        <v>308.0</v>
      </c>
      <c r="B309" s="15">
        <v>0.002</v>
      </c>
      <c r="C309" s="8">
        <v>0.165</v>
      </c>
      <c r="D309" s="9">
        <f t="shared" si="1"/>
        <v>50.46</v>
      </c>
      <c r="E309" s="16">
        <f t="shared" si="2"/>
        <v>0.92</v>
      </c>
      <c r="F309" s="10">
        <f t="shared" si="3"/>
        <v>1.967721288</v>
      </c>
      <c r="G309" s="11">
        <f t="shared" si="4"/>
        <v>58.3</v>
      </c>
      <c r="H309" s="10">
        <f t="shared" si="5"/>
        <v>78.295</v>
      </c>
      <c r="I309" s="10">
        <f t="shared" si="6"/>
        <v>8.78</v>
      </c>
      <c r="J309" s="12">
        <f t="shared" si="7"/>
        <v>15.06</v>
      </c>
      <c r="K309" s="13">
        <f t="shared" si="8"/>
        <v>0.898</v>
      </c>
      <c r="L309" s="10">
        <f t="shared" si="9"/>
        <v>0.158</v>
      </c>
      <c r="M309" s="10">
        <f t="shared" si="10"/>
        <v>0.01771516953</v>
      </c>
      <c r="N309" s="14">
        <f t="shared" si="11"/>
        <v>1.97</v>
      </c>
      <c r="O309" s="9">
        <f t="shared" si="12"/>
        <v>539</v>
      </c>
      <c r="P309" s="9">
        <f t="shared" si="13"/>
        <v>57.14</v>
      </c>
    </row>
    <row r="310">
      <c r="A310" s="8">
        <v>309.0</v>
      </c>
      <c r="B310" s="15">
        <v>4.838E-4</v>
      </c>
      <c r="C310" s="8">
        <v>0.078</v>
      </c>
      <c r="D310" s="9">
        <f t="shared" si="1"/>
        <v>24.82</v>
      </c>
      <c r="E310" s="16">
        <f t="shared" si="2"/>
        <v>1</v>
      </c>
      <c r="F310" s="10">
        <f t="shared" si="3"/>
        <v>1.967696005</v>
      </c>
      <c r="G310" s="11">
        <f t="shared" si="4"/>
        <v>58.19</v>
      </c>
      <c r="H310" s="10">
        <f t="shared" si="5"/>
        <v>78.191</v>
      </c>
      <c r="I310" s="10">
        <f t="shared" si="6"/>
        <v>8.75</v>
      </c>
      <c r="J310" s="12">
        <f t="shared" si="7"/>
        <v>15.037</v>
      </c>
      <c r="K310" s="13">
        <f t="shared" si="8"/>
        <v>0.898</v>
      </c>
      <c r="L310" s="10">
        <f t="shared" si="9"/>
        <v>0.158</v>
      </c>
      <c r="M310" s="10">
        <f t="shared" si="10"/>
        <v>0.01768625372</v>
      </c>
      <c r="N310" s="14">
        <f t="shared" si="11"/>
        <v>1.97</v>
      </c>
      <c r="O310" s="9">
        <f t="shared" si="12"/>
        <v>539</v>
      </c>
      <c r="P310" s="9">
        <f t="shared" si="13"/>
        <v>57.33</v>
      </c>
    </row>
    <row r="311">
      <c r="A311" s="8">
        <v>310.0</v>
      </c>
      <c r="B311" s="15">
        <v>2.468</v>
      </c>
      <c r="C311" s="8">
        <v>8.705</v>
      </c>
      <c r="D311" s="9">
        <f t="shared" si="1"/>
        <v>1772.67</v>
      </c>
      <c r="E311" s="16">
        <f t="shared" si="2"/>
        <v>0.41</v>
      </c>
      <c r="F311" s="10">
        <f t="shared" si="3"/>
        <v>1.967670885</v>
      </c>
      <c r="G311" s="11">
        <f t="shared" si="4"/>
        <v>63.72</v>
      </c>
      <c r="H311" s="10">
        <f t="shared" si="5"/>
        <v>124.804</v>
      </c>
      <c r="I311" s="10">
        <f t="shared" si="6"/>
        <v>13.95</v>
      </c>
      <c r="J311" s="12">
        <f t="shared" si="7"/>
        <v>21.893</v>
      </c>
      <c r="K311" s="13">
        <f t="shared" si="8"/>
        <v>0.897</v>
      </c>
      <c r="L311" s="10">
        <f t="shared" si="9"/>
        <v>0.16</v>
      </c>
      <c r="M311" s="10">
        <f t="shared" si="10"/>
        <v>0.01788099144</v>
      </c>
      <c r="N311" s="14">
        <f t="shared" si="11"/>
        <v>1.99</v>
      </c>
      <c r="O311" s="9">
        <f t="shared" si="12"/>
        <v>539</v>
      </c>
      <c r="P311" s="9">
        <f t="shared" si="13"/>
        <v>57.51</v>
      </c>
    </row>
    <row r="312">
      <c r="A312" s="8">
        <v>311.0</v>
      </c>
      <c r="B312" s="15">
        <v>8.53E-4</v>
      </c>
      <c r="C312" s="8">
        <v>0.105</v>
      </c>
      <c r="D312" s="9">
        <f t="shared" si="1"/>
        <v>32.96</v>
      </c>
      <c r="E312" s="16">
        <f t="shared" si="2"/>
        <v>0.97</v>
      </c>
      <c r="F312" s="10">
        <f t="shared" si="3"/>
        <v>1.967645929</v>
      </c>
      <c r="G312" s="11">
        <f t="shared" si="4"/>
        <v>63.62</v>
      </c>
      <c r="H312" s="10">
        <f t="shared" si="5"/>
        <v>124.615</v>
      </c>
      <c r="I312" s="10">
        <f t="shared" si="6"/>
        <v>13.9</v>
      </c>
      <c r="J312" s="12">
        <f t="shared" si="7"/>
        <v>21.848</v>
      </c>
      <c r="K312" s="13">
        <f t="shared" si="8"/>
        <v>0.897</v>
      </c>
      <c r="L312" s="10">
        <f t="shared" si="9"/>
        <v>0.16</v>
      </c>
      <c r="M312" s="10">
        <f t="shared" si="10"/>
        <v>0.0178519943</v>
      </c>
      <c r="N312" s="14">
        <f t="shared" si="11"/>
        <v>1.99</v>
      </c>
      <c r="O312" s="9">
        <f t="shared" si="12"/>
        <v>539</v>
      </c>
      <c r="P312" s="9">
        <f t="shared" si="13"/>
        <v>57.7</v>
      </c>
    </row>
    <row r="313">
      <c r="A313" s="8">
        <v>312.0</v>
      </c>
      <c r="B313" s="15">
        <v>5.729E-4</v>
      </c>
      <c r="C313" s="8">
        <v>0.087</v>
      </c>
      <c r="D313" s="9">
        <f t="shared" si="1"/>
        <v>27.01</v>
      </c>
      <c r="E313" s="16">
        <f t="shared" si="2"/>
        <v>0.95</v>
      </c>
      <c r="F313" s="10">
        <f t="shared" si="3"/>
        <v>1.967621133</v>
      </c>
      <c r="G313" s="11">
        <f t="shared" si="4"/>
        <v>63.51</v>
      </c>
      <c r="H313" s="10">
        <f t="shared" si="5"/>
        <v>124.432</v>
      </c>
      <c r="I313" s="10">
        <f t="shared" si="6"/>
        <v>13.86</v>
      </c>
      <c r="J313" s="12">
        <f t="shared" si="7"/>
        <v>21.823</v>
      </c>
      <c r="K313" s="13">
        <f t="shared" si="8"/>
        <v>0.897</v>
      </c>
      <c r="L313" s="10">
        <f t="shared" si="9"/>
        <v>0.16</v>
      </c>
      <c r="M313" s="10">
        <f t="shared" si="10"/>
        <v>0.01782313777</v>
      </c>
      <c r="N313" s="14">
        <f t="shared" si="11"/>
        <v>1.99</v>
      </c>
      <c r="O313" s="9">
        <f t="shared" si="12"/>
        <v>539</v>
      </c>
      <c r="P313" s="9">
        <f t="shared" si="13"/>
        <v>57.88</v>
      </c>
    </row>
    <row r="314">
      <c r="A314" s="8">
        <v>313.0</v>
      </c>
      <c r="B314" s="15">
        <v>4.456E-4</v>
      </c>
      <c r="C314" s="8">
        <v>0.077</v>
      </c>
      <c r="D314" s="9">
        <f t="shared" si="1"/>
        <v>23.82</v>
      </c>
      <c r="E314" s="16">
        <f t="shared" si="2"/>
        <v>0.94</v>
      </c>
      <c r="F314" s="10">
        <f t="shared" si="3"/>
        <v>1.967596497</v>
      </c>
      <c r="G314" s="11">
        <f t="shared" si="4"/>
        <v>63.38</v>
      </c>
      <c r="H314" s="10">
        <f t="shared" si="5"/>
        <v>124.252</v>
      </c>
      <c r="I314" s="10">
        <f t="shared" si="6"/>
        <v>13.82</v>
      </c>
      <c r="J314" s="12">
        <f t="shared" si="7"/>
        <v>21.805</v>
      </c>
      <c r="K314" s="13">
        <f t="shared" si="8"/>
        <v>0.897</v>
      </c>
      <c r="L314" s="10">
        <f t="shared" si="9"/>
        <v>0.16</v>
      </c>
      <c r="M314" s="10">
        <f t="shared" si="10"/>
        <v>0.01779442073</v>
      </c>
      <c r="N314" s="14">
        <f t="shared" si="11"/>
        <v>1.98</v>
      </c>
      <c r="O314" s="9">
        <f t="shared" si="12"/>
        <v>539</v>
      </c>
      <c r="P314" s="9">
        <f t="shared" si="13"/>
        <v>58.07</v>
      </c>
    </row>
    <row r="315">
      <c r="A315" s="8">
        <v>314.0</v>
      </c>
      <c r="B315" s="15">
        <v>0.001</v>
      </c>
      <c r="C315" s="8">
        <v>0.115</v>
      </c>
      <c r="D315" s="9">
        <f t="shared" si="1"/>
        <v>35.68</v>
      </c>
      <c r="E315" s="16">
        <f t="shared" si="2"/>
        <v>0.95</v>
      </c>
      <c r="F315" s="10">
        <f t="shared" si="3"/>
        <v>1.967572019</v>
      </c>
      <c r="G315" s="11">
        <f t="shared" si="4"/>
        <v>63.29</v>
      </c>
      <c r="H315" s="10">
        <f t="shared" si="5"/>
        <v>124.063</v>
      </c>
      <c r="I315" s="10">
        <f t="shared" si="6"/>
        <v>13.78</v>
      </c>
      <c r="J315" s="12">
        <f t="shared" si="7"/>
        <v>21.773</v>
      </c>
      <c r="K315" s="13">
        <f t="shared" si="8"/>
        <v>0.897</v>
      </c>
      <c r="L315" s="10">
        <f t="shared" si="9"/>
        <v>0.159</v>
      </c>
      <c r="M315" s="10">
        <f t="shared" si="10"/>
        <v>0.01765480553</v>
      </c>
      <c r="N315" s="14">
        <f t="shared" si="11"/>
        <v>1.97</v>
      </c>
      <c r="O315" s="9">
        <f t="shared" si="12"/>
        <v>539</v>
      </c>
      <c r="P315" s="9">
        <f t="shared" si="13"/>
        <v>58.26</v>
      </c>
    </row>
    <row r="316">
      <c r="A316" s="8">
        <v>315.0</v>
      </c>
      <c r="B316" s="15">
        <v>3.565E-4</v>
      </c>
      <c r="C316" s="8">
        <v>0.068</v>
      </c>
      <c r="D316" s="9">
        <f t="shared" si="1"/>
        <v>21.31</v>
      </c>
      <c r="E316" s="16">
        <f t="shared" si="2"/>
        <v>0.97</v>
      </c>
      <c r="F316" s="10">
        <f t="shared" si="3"/>
        <v>1.967547698</v>
      </c>
      <c r="G316" s="11">
        <f t="shared" si="4"/>
        <v>63.16</v>
      </c>
      <c r="H316" s="10">
        <f t="shared" si="5"/>
        <v>123.888</v>
      </c>
      <c r="I316" s="10">
        <f t="shared" si="6"/>
        <v>13.73</v>
      </c>
      <c r="J316" s="12">
        <f t="shared" si="7"/>
        <v>21.738</v>
      </c>
      <c r="K316" s="13">
        <f t="shared" si="8"/>
        <v>0.897</v>
      </c>
      <c r="L316" s="10">
        <f t="shared" si="9"/>
        <v>0.159</v>
      </c>
      <c r="M316" s="10">
        <f t="shared" si="10"/>
        <v>0.01762654187</v>
      </c>
      <c r="N316" s="14">
        <f t="shared" si="11"/>
        <v>1.97</v>
      </c>
      <c r="O316" s="9">
        <f t="shared" si="12"/>
        <v>539</v>
      </c>
      <c r="P316" s="9">
        <f t="shared" si="13"/>
        <v>58.44</v>
      </c>
    </row>
    <row r="317">
      <c r="A317" s="8">
        <v>316.0</v>
      </c>
      <c r="B317" s="15">
        <v>2.801E-4</v>
      </c>
      <c r="C317" s="8">
        <v>0.058</v>
      </c>
      <c r="D317" s="9">
        <f t="shared" si="1"/>
        <v>18.88</v>
      </c>
      <c r="E317" s="16">
        <f t="shared" si="2"/>
        <v>1.05</v>
      </c>
      <c r="F317" s="10">
        <f t="shared" si="3"/>
        <v>1.967523532</v>
      </c>
      <c r="G317" s="11">
        <f t="shared" si="4"/>
        <v>63.02</v>
      </c>
      <c r="H317" s="10">
        <f t="shared" si="5"/>
        <v>123.717</v>
      </c>
      <c r="I317" s="10">
        <f t="shared" si="6"/>
        <v>13.69</v>
      </c>
      <c r="J317" s="12">
        <f t="shared" si="7"/>
        <v>21.723</v>
      </c>
      <c r="K317" s="13">
        <f t="shared" si="8"/>
        <v>0.898</v>
      </c>
      <c r="L317" s="10">
        <f t="shared" si="9"/>
        <v>0.159</v>
      </c>
      <c r="M317" s="10">
        <f t="shared" si="10"/>
        <v>0.01759841352</v>
      </c>
      <c r="N317" s="14">
        <f t="shared" si="11"/>
        <v>1.96</v>
      </c>
      <c r="O317" s="9">
        <f t="shared" si="12"/>
        <v>539</v>
      </c>
      <c r="P317" s="9">
        <f t="shared" si="13"/>
        <v>58.63</v>
      </c>
    </row>
    <row r="318">
      <c r="A318" s="8">
        <v>317.0</v>
      </c>
      <c r="B318" s="15">
        <v>8.594E-4</v>
      </c>
      <c r="C318" s="8">
        <v>0.106</v>
      </c>
      <c r="D318" s="9">
        <f t="shared" si="1"/>
        <v>33.08</v>
      </c>
      <c r="E318" s="16">
        <f t="shared" si="2"/>
        <v>0.96</v>
      </c>
      <c r="F318" s="10">
        <f t="shared" si="3"/>
        <v>1.967499519</v>
      </c>
      <c r="G318" s="11">
        <f t="shared" si="4"/>
        <v>62.92</v>
      </c>
      <c r="H318" s="10">
        <f t="shared" si="5"/>
        <v>123.532</v>
      </c>
      <c r="I318" s="10">
        <f t="shared" si="6"/>
        <v>13.65</v>
      </c>
      <c r="J318" s="12">
        <f t="shared" si="7"/>
        <v>21.694</v>
      </c>
      <c r="K318" s="13">
        <f t="shared" si="8"/>
        <v>0.898</v>
      </c>
      <c r="L318" s="10">
        <f t="shared" si="9"/>
        <v>0.159</v>
      </c>
      <c r="M318" s="10">
        <f t="shared" si="10"/>
        <v>0.0175704194</v>
      </c>
      <c r="N318" s="14">
        <f t="shared" si="11"/>
        <v>1.96</v>
      </c>
      <c r="O318" s="9">
        <f t="shared" si="12"/>
        <v>539</v>
      </c>
      <c r="P318" s="9">
        <f t="shared" si="13"/>
        <v>58.81</v>
      </c>
    </row>
    <row r="319">
      <c r="A319" s="8">
        <v>318.0</v>
      </c>
      <c r="B319" s="15">
        <v>1.528E-4</v>
      </c>
      <c r="C319" s="8">
        <v>0.043</v>
      </c>
      <c r="D319" s="9">
        <f t="shared" si="1"/>
        <v>13.95</v>
      </c>
      <c r="E319" s="16">
        <f t="shared" si="2"/>
        <v>1.04</v>
      </c>
      <c r="F319" s="10">
        <f t="shared" si="3"/>
        <v>1.967475658</v>
      </c>
      <c r="G319" s="11">
        <f t="shared" si="4"/>
        <v>62.77</v>
      </c>
      <c r="H319" s="10">
        <f t="shared" si="5"/>
        <v>123.368</v>
      </c>
      <c r="I319" s="10">
        <f t="shared" si="6"/>
        <v>13.61</v>
      </c>
      <c r="J319" s="12">
        <f t="shared" si="7"/>
        <v>21.682</v>
      </c>
      <c r="K319" s="13">
        <f t="shared" si="8"/>
        <v>0.899</v>
      </c>
      <c r="L319" s="10">
        <f t="shared" si="9"/>
        <v>0.159</v>
      </c>
      <c r="M319" s="10">
        <f t="shared" si="10"/>
        <v>0.01754255845</v>
      </c>
      <c r="N319" s="14">
        <f t="shared" si="11"/>
        <v>1.95</v>
      </c>
      <c r="O319" s="9">
        <f t="shared" si="12"/>
        <v>539</v>
      </c>
      <c r="P319" s="9">
        <f t="shared" si="13"/>
        <v>59</v>
      </c>
    </row>
    <row r="320">
      <c r="A320" s="8">
        <v>319.0</v>
      </c>
      <c r="B320" s="15">
        <v>0.001</v>
      </c>
      <c r="C320" s="8">
        <v>0.12</v>
      </c>
      <c r="D320" s="9">
        <f t="shared" si="1"/>
        <v>35.68</v>
      </c>
      <c r="E320" s="16">
        <f t="shared" si="2"/>
        <v>0.87</v>
      </c>
      <c r="F320" s="10">
        <f t="shared" si="3"/>
        <v>1.967451948</v>
      </c>
      <c r="G320" s="11">
        <f t="shared" si="4"/>
        <v>62.69</v>
      </c>
      <c r="H320" s="10">
        <f t="shared" si="5"/>
        <v>123.183</v>
      </c>
      <c r="I320" s="10">
        <f t="shared" si="6"/>
        <v>13.57</v>
      </c>
      <c r="J320" s="12">
        <f t="shared" si="7"/>
        <v>21.646</v>
      </c>
      <c r="K320" s="13">
        <f t="shared" si="8"/>
        <v>0.898</v>
      </c>
      <c r="L320" s="10">
        <f t="shared" si="9"/>
        <v>0.159</v>
      </c>
      <c r="M320" s="10">
        <f t="shared" si="10"/>
        <v>0.01751482962</v>
      </c>
      <c r="N320" s="14">
        <f t="shared" si="11"/>
        <v>1.95</v>
      </c>
      <c r="O320" s="9">
        <f t="shared" si="12"/>
        <v>539</v>
      </c>
      <c r="P320" s="9">
        <f t="shared" si="13"/>
        <v>59.18</v>
      </c>
    </row>
    <row r="321">
      <c r="A321" s="8">
        <v>320.0</v>
      </c>
      <c r="B321" s="15">
        <v>0.001</v>
      </c>
      <c r="C321" s="8">
        <v>0.139</v>
      </c>
      <c r="D321" s="9">
        <f t="shared" si="1"/>
        <v>35.68</v>
      </c>
      <c r="E321" s="16">
        <f t="shared" si="2"/>
        <v>0.65</v>
      </c>
      <c r="F321" s="10">
        <f t="shared" si="3"/>
        <v>1.967428387</v>
      </c>
      <c r="G321" s="11">
        <f t="shared" si="4"/>
        <v>62.6</v>
      </c>
      <c r="H321" s="10">
        <f t="shared" si="5"/>
        <v>122.999</v>
      </c>
      <c r="I321" s="10">
        <f t="shared" si="6"/>
        <v>13.53</v>
      </c>
      <c r="J321" s="12">
        <f t="shared" si="7"/>
        <v>21.613</v>
      </c>
      <c r="K321" s="13">
        <f t="shared" si="8"/>
        <v>0.898</v>
      </c>
      <c r="L321" s="10">
        <f t="shared" si="9"/>
        <v>0.159</v>
      </c>
      <c r="M321" s="10">
        <f t="shared" si="10"/>
        <v>0.01748723187</v>
      </c>
      <c r="N321" s="14">
        <f t="shared" si="11"/>
        <v>1.95</v>
      </c>
      <c r="O321" s="9">
        <f t="shared" si="12"/>
        <v>539</v>
      </c>
      <c r="P321" s="9">
        <f t="shared" si="13"/>
        <v>59.37</v>
      </c>
    </row>
    <row r="322">
      <c r="A322" s="8">
        <v>321.0</v>
      </c>
      <c r="B322" s="8">
        <v>0.002</v>
      </c>
      <c r="C322" s="8">
        <v>0.177</v>
      </c>
      <c r="D322" s="9">
        <f t="shared" si="1"/>
        <v>50.46</v>
      </c>
      <c r="E322" s="9">
        <f t="shared" si="2"/>
        <v>0.8</v>
      </c>
      <c r="F322" s="10">
        <f t="shared" si="3"/>
        <v>1.967404974</v>
      </c>
      <c r="G322" s="11">
        <f t="shared" si="4"/>
        <v>62.56</v>
      </c>
      <c r="H322" s="10">
        <f t="shared" si="5"/>
        <v>122.808</v>
      </c>
      <c r="I322" s="10">
        <f t="shared" si="6"/>
        <v>13.49</v>
      </c>
      <c r="J322" s="12">
        <f t="shared" si="7"/>
        <v>21.563</v>
      </c>
      <c r="K322" s="13">
        <f t="shared" si="8"/>
        <v>0.897</v>
      </c>
      <c r="L322" s="10">
        <f t="shared" si="9"/>
        <v>0.159</v>
      </c>
      <c r="M322" s="10">
        <f t="shared" si="10"/>
        <v>0.01745976416</v>
      </c>
      <c r="N322" s="14">
        <f t="shared" si="11"/>
        <v>1.95</v>
      </c>
      <c r="O322" s="9">
        <f t="shared" si="12"/>
        <v>539</v>
      </c>
      <c r="P322" s="9">
        <f t="shared" si="13"/>
        <v>59.55</v>
      </c>
    </row>
    <row r="323">
      <c r="A323" s="8">
        <v>322.0</v>
      </c>
      <c r="B323" s="15">
        <v>7.32E-4</v>
      </c>
      <c r="C323" s="8">
        <v>0.099</v>
      </c>
      <c r="D323" s="9">
        <f t="shared" si="1"/>
        <v>30.53</v>
      </c>
      <c r="E323" s="16">
        <f t="shared" si="2"/>
        <v>0.94</v>
      </c>
      <c r="F323" s="10">
        <f t="shared" si="3"/>
        <v>1.967381707</v>
      </c>
      <c r="G323" s="11">
        <f t="shared" si="4"/>
        <v>62.46</v>
      </c>
      <c r="H323" s="10">
        <f t="shared" si="5"/>
        <v>122.63</v>
      </c>
      <c r="I323" s="10">
        <f t="shared" si="6"/>
        <v>13.44</v>
      </c>
      <c r="J323" s="12">
        <f t="shared" si="7"/>
        <v>21.518</v>
      </c>
      <c r="K323" s="13">
        <f t="shared" si="8"/>
        <v>0.898</v>
      </c>
      <c r="L323" s="10">
        <f t="shared" si="9"/>
        <v>0.159</v>
      </c>
      <c r="M323" s="10">
        <f t="shared" si="10"/>
        <v>0.01743242548</v>
      </c>
      <c r="N323" s="14">
        <f t="shared" si="11"/>
        <v>1.94</v>
      </c>
      <c r="O323" s="9">
        <f t="shared" si="12"/>
        <v>539</v>
      </c>
      <c r="P323" s="9">
        <f t="shared" si="13"/>
        <v>59.74</v>
      </c>
    </row>
    <row r="324">
      <c r="A324" s="8">
        <v>323.0</v>
      </c>
      <c r="B324" s="15">
        <v>0.004</v>
      </c>
      <c r="C324" s="8">
        <v>0.232</v>
      </c>
      <c r="D324" s="9">
        <f t="shared" si="1"/>
        <v>71.36</v>
      </c>
      <c r="E324" s="16">
        <f t="shared" si="2"/>
        <v>0.93</v>
      </c>
      <c r="F324" s="10">
        <f t="shared" si="3"/>
        <v>1.967358585</v>
      </c>
      <c r="G324" s="11">
        <f t="shared" si="4"/>
        <v>62.49</v>
      </c>
      <c r="H324" s="10">
        <f t="shared" si="5"/>
        <v>122.44</v>
      </c>
      <c r="I324" s="10">
        <f t="shared" si="6"/>
        <v>13.4</v>
      </c>
      <c r="J324" s="12">
        <f t="shared" si="7"/>
        <v>21.443</v>
      </c>
      <c r="K324" s="13">
        <f t="shared" si="8"/>
        <v>0.898</v>
      </c>
      <c r="L324" s="10">
        <f t="shared" si="9"/>
        <v>0.158</v>
      </c>
      <c r="M324" s="10">
        <f t="shared" si="10"/>
        <v>0.01729574807</v>
      </c>
      <c r="N324" s="14">
        <f t="shared" si="11"/>
        <v>1.93</v>
      </c>
      <c r="O324" s="9">
        <f t="shared" si="12"/>
        <v>539</v>
      </c>
      <c r="P324" s="9">
        <f t="shared" si="13"/>
        <v>59.93</v>
      </c>
    </row>
    <row r="325">
      <c r="A325" s="8">
        <v>324.0</v>
      </c>
      <c r="B325" s="8">
        <v>0.003</v>
      </c>
      <c r="C325" s="8">
        <v>0.205</v>
      </c>
      <c r="D325" s="9">
        <f t="shared" si="1"/>
        <v>61.8</v>
      </c>
      <c r="E325" s="9">
        <f t="shared" si="2"/>
        <v>0.9</v>
      </c>
      <c r="F325" s="10">
        <f t="shared" si="3"/>
        <v>1.967335607</v>
      </c>
      <c r="G325" s="11">
        <f t="shared" si="4"/>
        <v>62.49</v>
      </c>
      <c r="H325" s="10">
        <f t="shared" si="5"/>
        <v>122.251</v>
      </c>
      <c r="I325" s="10">
        <f t="shared" si="6"/>
        <v>13.36</v>
      </c>
      <c r="J325" s="12">
        <f t="shared" si="7"/>
        <v>21.379</v>
      </c>
      <c r="K325" s="13">
        <f t="shared" si="8"/>
        <v>0.898</v>
      </c>
      <c r="L325" s="10">
        <f t="shared" si="9"/>
        <v>0.158</v>
      </c>
      <c r="M325" s="10">
        <f t="shared" si="10"/>
        <v>0.01726883478</v>
      </c>
      <c r="N325" s="14">
        <f t="shared" si="11"/>
        <v>1.92</v>
      </c>
      <c r="O325" s="9">
        <f t="shared" si="12"/>
        <v>539</v>
      </c>
      <c r="P325" s="9">
        <f t="shared" si="13"/>
        <v>60.11</v>
      </c>
    </row>
    <row r="326">
      <c r="A326" s="8">
        <v>325.0</v>
      </c>
      <c r="B326" s="15">
        <v>1.273E-4</v>
      </c>
      <c r="C326" s="8">
        <v>0.039</v>
      </c>
      <c r="D326" s="9">
        <f t="shared" si="1"/>
        <v>12.73</v>
      </c>
      <c r="E326" s="16">
        <f t="shared" si="2"/>
        <v>1.05</v>
      </c>
      <c r="F326" s="10">
        <f t="shared" si="3"/>
        <v>1.967312772</v>
      </c>
      <c r="G326" s="11">
        <f t="shared" si="4"/>
        <v>62.34</v>
      </c>
      <c r="H326" s="10">
        <f t="shared" si="5"/>
        <v>122.093</v>
      </c>
      <c r="I326" s="10">
        <f t="shared" si="6"/>
        <v>13.32</v>
      </c>
      <c r="J326" s="12">
        <f t="shared" si="7"/>
        <v>21.367</v>
      </c>
      <c r="K326" s="13">
        <f t="shared" si="8"/>
        <v>0.898</v>
      </c>
      <c r="L326" s="10">
        <f t="shared" si="9"/>
        <v>0.158</v>
      </c>
      <c r="M326" s="10">
        <f t="shared" si="10"/>
        <v>0.01724204673</v>
      </c>
      <c r="N326" s="14">
        <f t="shared" si="11"/>
        <v>1.92</v>
      </c>
      <c r="O326" s="9">
        <f t="shared" si="12"/>
        <v>539</v>
      </c>
      <c r="P326" s="9">
        <f t="shared" si="13"/>
        <v>60.3</v>
      </c>
    </row>
    <row r="327">
      <c r="A327" s="8">
        <v>326.0</v>
      </c>
      <c r="B327" s="15">
        <v>0.002</v>
      </c>
      <c r="C327" s="8">
        <v>0.177</v>
      </c>
      <c r="D327" s="9">
        <f t="shared" si="1"/>
        <v>50.46</v>
      </c>
      <c r="E327" s="16">
        <f t="shared" si="2"/>
        <v>0.8</v>
      </c>
      <c r="F327" s="10">
        <f t="shared" si="3"/>
        <v>1.967290077</v>
      </c>
      <c r="G327" s="11">
        <f t="shared" si="4"/>
        <v>62.3</v>
      </c>
      <c r="H327" s="10">
        <f t="shared" si="5"/>
        <v>121.907</v>
      </c>
      <c r="I327" s="10">
        <f t="shared" si="6"/>
        <v>13.28</v>
      </c>
      <c r="J327" s="12">
        <f t="shared" si="7"/>
        <v>21.316</v>
      </c>
      <c r="K327" s="13">
        <f t="shared" si="8"/>
        <v>0.898</v>
      </c>
      <c r="L327" s="10">
        <f t="shared" si="9"/>
        <v>0.158</v>
      </c>
      <c r="M327" s="10">
        <f t="shared" si="10"/>
        <v>0.01721538297</v>
      </c>
      <c r="N327" s="14">
        <f t="shared" si="11"/>
        <v>1.92</v>
      </c>
      <c r="O327" s="9">
        <f t="shared" si="12"/>
        <v>539</v>
      </c>
      <c r="P327" s="9">
        <f t="shared" si="13"/>
        <v>60.48</v>
      </c>
    </row>
    <row r="328">
      <c r="A328" s="8">
        <v>327.0</v>
      </c>
      <c r="B328" s="15">
        <v>0.002</v>
      </c>
      <c r="C328" s="8">
        <v>0.174</v>
      </c>
      <c r="D328" s="9">
        <f t="shared" si="1"/>
        <v>50.46</v>
      </c>
      <c r="E328" s="16">
        <f t="shared" si="2"/>
        <v>0.83</v>
      </c>
      <c r="F328" s="10">
        <f t="shared" si="3"/>
        <v>1.967267522</v>
      </c>
      <c r="G328" s="11">
        <f t="shared" si="4"/>
        <v>62.26</v>
      </c>
      <c r="H328" s="10">
        <f t="shared" si="5"/>
        <v>121.722</v>
      </c>
      <c r="I328" s="10">
        <f t="shared" si="6"/>
        <v>13.24</v>
      </c>
      <c r="J328" s="12">
        <f t="shared" si="7"/>
        <v>21.266</v>
      </c>
      <c r="K328" s="13">
        <f t="shared" si="8"/>
        <v>0.898</v>
      </c>
      <c r="L328" s="10">
        <f t="shared" si="9"/>
        <v>0.158</v>
      </c>
      <c r="M328" s="10">
        <f t="shared" si="10"/>
        <v>0.01718884253</v>
      </c>
      <c r="N328" s="14">
        <f t="shared" si="11"/>
        <v>1.91</v>
      </c>
      <c r="O328" s="9">
        <f t="shared" si="12"/>
        <v>539</v>
      </c>
      <c r="P328" s="9">
        <f t="shared" si="13"/>
        <v>60.67</v>
      </c>
    </row>
    <row r="329">
      <c r="A329" s="8">
        <v>328.0</v>
      </c>
      <c r="B329" s="15">
        <v>0.003</v>
      </c>
      <c r="C329" s="8">
        <v>0.218</v>
      </c>
      <c r="D329" s="9">
        <f t="shared" si="1"/>
        <v>61.8</v>
      </c>
      <c r="E329" s="16">
        <f t="shared" si="2"/>
        <v>0.79</v>
      </c>
      <c r="F329" s="10">
        <f t="shared" si="3"/>
        <v>1.967245106</v>
      </c>
      <c r="G329" s="11">
        <f t="shared" si="4"/>
        <v>62.26</v>
      </c>
      <c r="H329" s="10">
        <f t="shared" si="5"/>
        <v>121.535</v>
      </c>
      <c r="I329" s="10">
        <f t="shared" si="6"/>
        <v>13.2</v>
      </c>
      <c r="J329" s="12">
        <f t="shared" si="7"/>
        <v>21.201</v>
      </c>
      <c r="K329" s="13">
        <f t="shared" si="8"/>
        <v>0.897</v>
      </c>
      <c r="L329" s="10">
        <f t="shared" si="9"/>
        <v>0.158</v>
      </c>
      <c r="M329" s="10">
        <f t="shared" si="10"/>
        <v>0.01716242446</v>
      </c>
      <c r="N329" s="14">
        <f t="shared" si="11"/>
        <v>1.91</v>
      </c>
      <c r="O329" s="9">
        <f t="shared" si="12"/>
        <v>539</v>
      </c>
      <c r="P329" s="9">
        <f t="shared" si="13"/>
        <v>60.85</v>
      </c>
    </row>
    <row r="330">
      <c r="A330" s="8">
        <v>329.0</v>
      </c>
      <c r="B330" s="15">
        <v>9.548E-4</v>
      </c>
      <c r="C330" s="8">
        <v>0.111</v>
      </c>
      <c r="D330" s="9">
        <f t="shared" si="1"/>
        <v>34.87</v>
      </c>
      <c r="E330" s="16">
        <f t="shared" si="2"/>
        <v>0.97</v>
      </c>
      <c r="F330" s="10">
        <f t="shared" si="3"/>
        <v>1.967222827</v>
      </c>
      <c r="G330" s="11">
        <f t="shared" si="4"/>
        <v>62.18</v>
      </c>
      <c r="H330" s="10">
        <f t="shared" si="5"/>
        <v>121.359</v>
      </c>
      <c r="I330" s="10">
        <f t="shared" si="6"/>
        <v>13.16</v>
      </c>
      <c r="J330" s="12">
        <f t="shared" si="7"/>
        <v>21.164</v>
      </c>
      <c r="K330" s="13">
        <f t="shared" si="8"/>
        <v>0.898</v>
      </c>
      <c r="L330" s="10">
        <f t="shared" si="9"/>
        <v>0.158</v>
      </c>
      <c r="M330" s="10">
        <f t="shared" si="10"/>
        <v>0.01713612782</v>
      </c>
      <c r="N330" s="14">
        <f t="shared" si="11"/>
        <v>1.91</v>
      </c>
      <c r="O330" s="9">
        <f t="shared" si="12"/>
        <v>539</v>
      </c>
      <c r="P330" s="9">
        <f t="shared" si="13"/>
        <v>61.04</v>
      </c>
    </row>
    <row r="331">
      <c r="A331" s="8">
        <v>330.0</v>
      </c>
      <c r="B331" s="15">
        <v>5.092E-4</v>
      </c>
      <c r="C331" s="8">
        <v>0.082</v>
      </c>
      <c r="D331" s="9">
        <f t="shared" si="1"/>
        <v>25.46</v>
      </c>
      <c r="E331" s="16">
        <f t="shared" si="2"/>
        <v>0.95</v>
      </c>
      <c r="F331" s="10">
        <f t="shared" si="3"/>
        <v>1.967200683</v>
      </c>
      <c r="G331" s="11">
        <f t="shared" si="4"/>
        <v>62.07</v>
      </c>
      <c r="H331" s="10">
        <f t="shared" si="5"/>
        <v>121.192</v>
      </c>
      <c r="I331" s="10">
        <f t="shared" si="6"/>
        <v>13.12</v>
      </c>
      <c r="J331" s="12">
        <f t="shared" si="7"/>
        <v>21.137</v>
      </c>
      <c r="K331" s="13">
        <f t="shared" si="8"/>
        <v>0.898</v>
      </c>
      <c r="L331" s="10">
        <f t="shared" si="9"/>
        <v>0.157</v>
      </c>
      <c r="M331" s="10">
        <f t="shared" si="10"/>
        <v>0.01700166087</v>
      </c>
      <c r="N331" s="14">
        <f t="shared" si="11"/>
        <v>1.89</v>
      </c>
      <c r="O331" s="9">
        <f t="shared" si="12"/>
        <v>539</v>
      </c>
      <c r="P331" s="9">
        <f t="shared" si="13"/>
        <v>61.22</v>
      </c>
    </row>
    <row r="332">
      <c r="A332" s="8">
        <v>331.0</v>
      </c>
      <c r="B332" s="15">
        <v>0.003</v>
      </c>
      <c r="C332" s="8">
        <v>0.189</v>
      </c>
      <c r="D332" s="9">
        <f t="shared" si="1"/>
        <v>61.8</v>
      </c>
      <c r="E332" s="16">
        <f t="shared" si="2"/>
        <v>1.06</v>
      </c>
      <c r="F332" s="10">
        <f t="shared" si="3"/>
        <v>1.967178675</v>
      </c>
      <c r="G332" s="11">
        <f t="shared" si="4"/>
        <v>62.07</v>
      </c>
      <c r="H332" s="10">
        <f t="shared" si="5"/>
        <v>121.008</v>
      </c>
      <c r="I332" s="10">
        <f t="shared" si="6"/>
        <v>13.08</v>
      </c>
      <c r="J332" s="12">
        <f t="shared" si="7"/>
        <v>21.073</v>
      </c>
      <c r="K332" s="13">
        <f t="shared" si="8"/>
        <v>0.898</v>
      </c>
      <c r="L332" s="10">
        <f t="shared" si="9"/>
        <v>0.157</v>
      </c>
      <c r="M332" s="10">
        <f t="shared" si="10"/>
        <v>0.01697576925</v>
      </c>
      <c r="N332" s="14">
        <f t="shared" si="11"/>
        <v>1.89</v>
      </c>
      <c r="O332" s="9">
        <f t="shared" si="12"/>
        <v>539</v>
      </c>
      <c r="P332" s="9">
        <f t="shared" si="13"/>
        <v>61.41</v>
      </c>
    </row>
    <row r="333">
      <c r="A333" s="8">
        <v>332.0</v>
      </c>
      <c r="B333" s="15">
        <v>0.002</v>
      </c>
      <c r="C333" s="8">
        <v>0.172</v>
      </c>
      <c r="D333" s="9">
        <f t="shared" si="1"/>
        <v>50.46</v>
      </c>
      <c r="E333" s="16">
        <f t="shared" si="2"/>
        <v>0.85</v>
      </c>
      <c r="F333" s="10">
        <f t="shared" si="3"/>
        <v>1.9671568</v>
      </c>
      <c r="G333" s="11">
        <f t="shared" si="4"/>
        <v>62.03</v>
      </c>
      <c r="H333" s="10">
        <f t="shared" si="5"/>
        <v>120.827</v>
      </c>
      <c r="I333" s="10">
        <f t="shared" si="6"/>
        <v>13.04</v>
      </c>
      <c r="J333" s="12">
        <f t="shared" si="7"/>
        <v>21.022</v>
      </c>
      <c r="K333" s="13">
        <f t="shared" si="8"/>
        <v>0.898</v>
      </c>
      <c r="L333" s="10">
        <f t="shared" si="9"/>
        <v>0.157</v>
      </c>
      <c r="M333" s="10">
        <f t="shared" si="10"/>
        <v>0.01694999557</v>
      </c>
      <c r="N333" s="14">
        <f t="shared" si="11"/>
        <v>1.89</v>
      </c>
      <c r="O333" s="9">
        <f t="shared" si="12"/>
        <v>539</v>
      </c>
      <c r="P333" s="9">
        <f t="shared" si="13"/>
        <v>61.6</v>
      </c>
    </row>
    <row r="334">
      <c r="A334" s="8">
        <v>333.0</v>
      </c>
      <c r="B334" s="8">
        <v>0.002</v>
      </c>
      <c r="C334" s="8">
        <v>0.148</v>
      </c>
      <c r="D334" s="9">
        <f t="shared" si="1"/>
        <v>50.46</v>
      </c>
      <c r="E334" s="9">
        <f t="shared" si="2"/>
        <v>1.15</v>
      </c>
      <c r="F334" s="10">
        <f t="shared" si="3"/>
        <v>1.967135057</v>
      </c>
      <c r="G334" s="11">
        <f t="shared" si="4"/>
        <v>62</v>
      </c>
      <c r="H334" s="10">
        <f t="shared" si="5"/>
        <v>120.646</v>
      </c>
      <c r="I334" s="10">
        <f t="shared" si="6"/>
        <v>13.01</v>
      </c>
      <c r="J334" s="12">
        <f t="shared" si="7"/>
        <v>20.984</v>
      </c>
      <c r="K334" s="13">
        <f t="shared" si="8"/>
        <v>0.899</v>
      </c>
      <c r="L334" s="10">
        <f t="shared" si="9"/>
        <v>0.157</v>
      </c>
      <c r="M334" s="10">
        <f t="shared" si="10"/>
        <v>0.01692433892</v>
      </c>
      <c r="N334" s="14">
        <f t="shared" si="11"/>
        <v>1.88</v>
      </c>
      <c r="O334" s="9">
        <f t="shared" si="12"/>
        <v>539</v>
      </c>
      <c r="P334" s="9">
        <f t="shared" si="13"/>
        <v>61.78</v>
      </c>
    </row>
    <row r="335">
      <c r="A335" s="8">
        <v>334.0</v>
      </c>
      <c r="B335" s="8">
        <v>0.005</v>
      </c>
      <c r="C335" s="8">
        <v>0.262</v>
      </c>
      <c r="D335" s="9">
        <f t="shared" si="1"/>
        <v>79.79</v>
      </c>
      <c r="E335" s="9">
        <f t="shared" si="2"/>
        <v>0.92</v>
      </c>
      <c r="F335" s="10">
        <f t="shared" si="3"/>
        <v>1.967113445</v>
      </c>
      <c r="G335" s="11">
        <f t="shared" si="4"/>
        <v>62.05</v>
      </c>
      <c r="H335" s="10">
        <f t="shared" si="5"/>
        <v>120.469</v>
      </c>
      <c r="I335" s="10">
        <f t="shared" si="6"/>
        <v>12.97</v>
      </c>
      <c r="J335" s="12">
        <f t="shared" si="7"/>
        <v>20.902</v>
      </c>
      <c r="K335" s="13">
        <f t="shared" si="8"/>
        <v>0.899</v>
      </c>
      <c r="L335" s="10">
        <f t="shared" si="9"/>
        <v>0.157</v>
      </c>
      <c r="M335" s="10">
        <f t="shared" si="10"/>
        <v>0.01689879843</v>
      </c>
      <c r="N335" s="14">
        <f t="shared" si="11"/>
        <v>1.88</v>
      </c>
      <c r="O335" s="9">
        <f t="shared" si="12"/>
        <v>539</v>
      </c>
      <c r="P335" s="9">
        <f t="shared" si="13"/>
        <v>61.97</v>
      </c>
    </row>
    <row r="336">
      <c r="A336" s="8">
        <v>335.0</v>
      </c>
      <c r="B336" s="8">
        <v>0.005</v>
      </c>
      <c r="C336" s="8">
        <v>0.258</v>
      </c>
      <c r="D336" s="9">
        <f t="shared" si="1"/>
        <v>79.79</v>
      </c>
      <c r="E336" s="9">
        <f t="shared" si="2"/>
        <v>0.94</v>
      </c>
      <c r="F336" s="10">
        <f t="shared" si="3"/>
        <v>1.967091963</v>
      </c>
      <c r="G336" s="11">
        <f t="shared" si="4"/>
        <v>62.1</v>
      </c>
      <c r="H336" s="10">
        <f t="shared" si="5"/>
        <v>120.292</v>
      </c>
      <c r="I336" s="10">
        <f t="shared" si="6"/>
        <v>12.93</v>
      </c>
      <c r="J336" s="12">
        <f t="shared" si="7"/>
        <v>20.821</v>
      </c>
      <c r="K336" s="13">
        <f t="shared" si="8"/>
        <v>0.899</v>
      </c>
      <c r="L336" s="10">
        <f t="shared" si="9"/>
        <v>0.157</v>
      </c>
      <c r="M336" s="10">
        <f t="shared" si="10"/>
        <v>0.01687337323</v>
      </c>
      <c r="N336" s="14">
        <f t="shared" si="11"/>
        <v>1.88</v>
      </c>
      <c r="O336" s="9">
        <f t="shared" si="12"/>
        <v>539</v>
      </c>
      <c r="P336" s="9">
        <f t="shared" si="13"/>
        <v>62.15</v>
      </c>
    </row>
    <row r="337">
      <c r="A337" s="8">
        <v>336.0</v>
      </c>
      <c r="B337" s="15">
        <v>0.002</v>
      </c>
      <c r="C337" s="8">
        <v>0.174</v>
      </c>
      <c r="D337" s="9">
        <f t="shared" si="1"/>
        <v>50.46</v>
      </c>
      <c r="E337" s="16">
        <f t="shared" si="2"/>
        <v>0.83</v>
      </c>
      <c r="F337" s="10">
        <f t="shared" si="3"/>
        <v>1.96707061</v>
      </c>
      <c r="G337" s="11">
        <f t="shared" si="4"/>
        <v>62.07</v>
      </c>
      <c r="H337" s="10">
        <f t="shared" si="5"/>
        <v>120.114</v>
      </c>
      <c r="I337" s="10">
        <f t="shared" si="6"/>
        <v>12.89</v>
      </c>
      <c r="J337" s="12">
        <f t="shared" si="7"/>
        <v>20.767</v>
      </c>
      <c r="K337" s="13">
        <f t="shared" si="8"/>
        <v>0.899</v>
      </c>
      <c r="L337" s="10">
        <f t="shared" si="9"/>
        <v>0.157</v>
      </c>
      <c r="M337" s="10">
        <f t="shared" si="10"/>
        <v>0.01684806244</v>
      </c>
      <c r="N337" s="14">
        <f t="shared" si="11"/>
        <v>1.87</v>
      </c>
      <c r="O337" s="9">
        <f t="shared" si="12"/>
        <v>539</v>
      </c>
      <c r="P337" s="9">
        <f t="shared" si="13"/>
        <v>62.34</v>
      </c>
    </row>
    <row r="338">
      <c r="A338" s="8">
        <v>337.0</v>
      </c>
      <c r="B338" s="15">
        <v>0.003</v>
      </c>
      <c r="C338" s="8">
        <v>0.213</v>
      </c>
      <c r="D338" s="9">
        <f t="shared" si="1"/>
        <v>61.8</v>
      </c>
      <c r="E338" s="16">
        <f t="shared" si="2"/>
        <v>0.83</v>
      </c>
      <c r="F338" s="10">
        <f t="shared" si="3"/>
        <v>1.967049384</v>
      </c>
      <c r="G338" s="11">
        <f t="shared" si="4"/>
        <v>62.07</v>
      </c>
      <c r="H338" s="10">
        <f t="shared" si="5"/>
        <v>119.935</v>
      </c>
      <c r="I338" s="10">
        <f t="shared" si="6"/>
        <v>12.85</v>
      </c>
      <c r="J338" s="12">
        <f t="shared" si="7"/>
        <v>20.702</v>
      </c>
      <c r="K338" s="13">
        <f t="shared" si="8"/>
        <v>0.899</v>
      </c>
      <c r="L338" s="10">
        <f t="shared" si="9"/>
        <v>0.157</v>
      </c>
      <c r="M338" s="10">
        <f t="shared" si="10"/>
        <v>0.01682286521</v>
      </c>
      <c r="N338" s="14">
        <f t="shared" si="11"/>
        <v>1.87</v>
      </c>
      <c r="O338" s="9">
        <f t="shared" si="12"/>
        <v>539</v>
      </c>
      <c r="P338" s="9">
        <f t="shared" si="13"/>
        <v>62.52</v>
      </c>
    </row>
    <row r="339">
      <c r="A339" s="8">
        <v>338.0</v>
      </c>
      <c r="B339" s="8">
        <v>0.001</v>
      </c>
      <c r="C339" s="8">
        <v>0.138</v>
      </c>
      <c r="D339" s="9">
        <f t="shared" si="1"/>
        <v>35.68</v>
      </c>
      <c r="E339" s="9">
        <f t="shared" si="2"/>
        <v>0.66</v>
      </c>
      <c r="F339" s="10">
        <f t="shared" si="3"/>
        <v>1.967028285</v>
      </c>
      <c r="G339" s="11">
        <f t="shared" si="4"/>
        <v>61.99</v>
      </c>
      <c r="H339" s="10">
        <f t="shared" si="5"/>
        <v>119.766</v>
      </c>
      <c r="I339" s="10">
        <f t="shared" si="6"/>
        <v>12.81</v>
      </c>
      <c r="J339" s="12">
        <f t="shared" si="7"/>
        <v>20.665</v>
      </c>
      <c r="K339" s="13">
        <f t="shared" si="8"/>
        <v>0.898</v>
      </c>
      <c r="L339" s="10">
        <f t="shared" si="9"/>
        <v>0.157</v>
      </c>
      <c r="M339" s="10">
        <f t="shared" si="10"/>
        <v>0.0167977807</v>
      </c>
      <c r="N339" s="14">
        <f t="shared" si="11"/>
        <v>1.87</v>
      </c>
      <c r="O339" s="9">
        <f t="shared" si="12"/>
        <v>539</v>
      </c>
      <c r="P339" s="9">
        <f t="shared" si="13"/>
        <v>62.71</v>
      </c>
    </row>
    <row r="340">
      <c r="A340" s="8">
        <v>339.0</v>
      </c>
      <c r="B340" s="15">
        <v>0.054</v>
      </c>
      <c r="C340" s="8">
        <v>0.824</v>
      </c>
      <c r="D340" s="9">
        <f t="shared" si="1"/>
        <v>262.21</v>
      </c>
      <c r="E340" s="16">
        <f t="shared" si="2"/>
        <v>1</v>
      </c>
      <c r="F340" s="10">
        <f t="shared" si="3"/>
        <v>1.967007311</v>
      </c>
      <c r="G340" s="11">
        <f t="shared" si="4"/>
        <v>62.58</v>
      </c>
      <c r="H340" s="10">
        <f t="shared" si="5"/>
        <v>120.082</v>
      </c>
      <c r="I340" s="10">
        <f t="shared" si="6"/>
        <v>12.83</v>
      </c>
      <c r="J340" s="12">
        <f t="shared" si="7"/>
        <v>20.502</v>
      </c>
      <c r="K340" s="13">
        <f t="shared" si="8"/>
        <v>0.898</v>
      </c>
      <c r="L340" s="10">
        <f t="shared" si="9"/>
        <v>0.157</v>
      </c>
      <c r="M340" s="10">
        <f t="shared" si="10"/>
        <v>0.01677280807</v>
      </c>
      <c r="N340" s="14">
        <f t="shared" si="11"/>
        <v>1.87</v>
      </c>
      <c r="O340" s="9">
        <f t="shared" si="12"/>
        <v>539</v>
      </c>
      <c r="P340" s="9">
        <f t="shared" si="13"/>
        <v>62.89</v>
      </c>
    </row>
    <row r="341">
      <c r="A341" s="8">
        <v>340.0</v>
      </c>
      <c r="B341" s="15">
        <v>0.017</v>
      </c>
      <c r="C341" s="8">
        <v>0.46</v>
      </c>
      <c r="D341" s="9">
        <f t="shared" si="1"/>
        <v>147.12</v>
      </c>
      <c r="E341" s="16">
        <f t="shared" si="2"/>
        <v>1.01</v>
      </c>
      <c r="F341" s="10">
        <f t="shared" si="3"/>
        <v>1.966986461</v>
      </c>
      <c r="G341" s="11">
        <f t="shared" si="4"/>
        <v>62.83</v>
      </c>
      <c r="H341" s="10">
        <f t="shared" si="5"/>
        <v>119.992</v>
      </c>
      <c r="I341" s="10">
        <f t="shared" si="6"/>
        <v>12.8</v>
      </c>
      <c r="J341" s="12">
        <f t="shared" si="7"/>
        <v>20.372</v>
      </c>
      <c r="K341" s="13">
        <f t="shared" si="8"/>
        <v>0.898</v>
      </c>
      <c r="L341" s="10">
        <f t="shared" si="9"/>
        <v>0.157</v>
      </c>
      <c r="M341" s="10">
        <f t="shared" si="10"/>
        <v>0.01674794648</v>
      </c>
      <c r="N341" s="14">
        <f t="shared" si="11"/>
        <v>1.87</v>
      </c>
      <c r="O341" s="9">
        <f t="shared" si="12"/>
        <v>539</v>
      </c>
      <c r="P341" s="9">
        <f t="shared" si="13"/>
        <v>63.08</v>
      </c>
    </row>
    <row r="342">
      <c r="A342" s="8">
        <v>341.0</v>
      </c>
      <c r="B342" s="15">
        <v>0.013</v>
      </c>
      <c r="C342" s="8">
        <v>0.396</v>
      </c>
      <c r="D342" s="9">
        <f t="shared" si="1"/>
        <v>128.66</v>
      </c>
      <c r="E342" s="16">
        <f t="shared" si="2"/>
        <v>1.04</v>
      </c>
      <c r="F342" s="10">
        <f t="shared" si="3"/>
        <v>1.966965734</v>
      </c>
      <c r="G342" s="11">
        <f t="shared" si="4"/>
        <v>63.02</v>
      </c>
      <c r="H342" s="10">
        <f t="shared" si="5"/>
        <v>119.869</v>
      </c>
      <c r="I342" s="10">
        <f t="shared" si="6"/>
        <v>12.77</v>
      </c>
      <c r="J342" s="12">
        <f t="shared" si="7"/>
        <v>20.263</v>
      </c>
      <c r="K342" s="13">
        <f t="shared" si="8"/>
        <v>0.899</v>
      </c>
      <c r="L342" s="10">
        <f t="shared" si="9"/>
        <v>0.157</v>
      </c>
      <c r="M342" s="10">
        <f t="shared" si="10"/>
        <v>0.01672319513</v>
      </c>
      <c r="N342" s="14">
        <f t="shared" si="11"/>
        <v>1.86</v>
      </c>
      <c r="O342" s="9">
        <f t="shared" si="12"/>
        <v>539</v>
      </c>
      <c r="P342" s="9">
        <f t="shared" si="13"/>
        <v>63.27</v>
      </c>
    </row>
    <row r="343">
      <c r="A343" s="8">
        <v>342.0</v>
      </c>
      <c r="B343" s="15">
        <v>0.009</v>
      </c>
      <c r="C343" s="8">
        <v>0.333</v>
      </c>
      <c r="D343" s="9">
        <f t="shared" si="1"/>
        <v>107.05</v>
      </c>
      <c r="E343" s="16">
        <f t="shared" si="2"/>
        <v>1.02</v>
      </c>
      <c r="F343" s="10">
        <f t="shared" si="3"/>
        <v>1.966945129</v>
      </c>
      <c r="G343" s="11">
        <f t="shared" si="4"/>
        <v>63.15</v>
      </c>
      <c r="H343" s="10">
        <f t="shared" si="5"/>
        <v>119.717</v>
      </c>
      <c r="I343" s="10">
        <f t="shared" si="6"/>
        <v>12.73</v>
      </c>
      <c r="J343" s="12">
        <f t="shared" si="7"/>
        <v>20.158</v>
      </c>
      <c r="K343" s="13">
        <f t="shared" si="8"/>
        <v>0.899</v>
      </c>
      <c r="L343" s="10">
        <f t="shared" si="9"/>
        <v>0.157</v>
      </c>
      <c r="M343" s="10">
        <f t="shared" si="10"/>
        <v>0.01669855319</v>
      </c>
      <c r="N343" s="14">
        <f t="shared" si="11"/>
        <v>1.86</v>
      </c>
      <c r="O343" s="9">
        <f t="shared" si="12"/>
        <v>539</v>
      </c>
      <c r="P343" s="9">
        <f t="shared" si="13"/>
        <v>63.45</v>
      </c>
    </row>
    <row r="344">
      <c r="A344" s="8">
        <v>343.0</v>
      </c>
      <c r="B344" s="8">
        <v>0.014</v>
      </c>
      <c r="C344" s="8">
        <v>0.412</v>
      </c>
      <c r="D344" s="9">
        <f t="shared" si="1"/>
        <v>133.51</v>
      </c>
      <c r="E344" s="9">
        <f t="shared" si="2"/>
        <v>1.04</v>
      </c>
      <c r="F344" s="10">
        <f t="shared" si="3"/>
        <v>1.966924645</v>
      </c>
      <c r="G344" s="11">
        <f t="shared" si="4"/>
        <v>63.36</v>
      </c>
      <c r="H344" s="10">
        <f t="shared" si="5"/>
        <v>119.602</v>
      </c>
      <c r="I344" s="10">
        <f t="shared" si="6"/>
        <v>12.7</v>
      </c>
      <c r="J344" s="12">
        <f t="shared" si="7"/>
        <v>20.044</v>
      </c>
      <c r="K344" s="13">
        <f t="shared" si="8"/>
        <v>0.9</v>
      </c>
      <c r="L344" s="10">
        <f t="shared" si="9"/>
        <v>0.157</v>
      </c>
      <c r="M344" s="10">
        <f t="shared" si="10"/>
        <v>0.01667401986</v>
      </c>
      <c r="N344" s="14">
        <f t="shared" si="11"/>
        <v>1.85</v>
      </c>
      <c r="O344" s="9">
        <f t="shared" si="12"/>
        <v>539</v>
      </c>
      <c r="P344" s="9">
        <f t="shared" si="13"/>
        <v>63.64</v>
      </c>
    </row>
    <row r="345">
      <c r="A345" s="8">
        <v>344.0</v>
      </c>
      <c r="B345" s="15">
        <v>0.008</v>
      </c>
      <c r="C345" s="8">
        <v>0.317</v>
      </c>
      <c r="D345" s="9">
        <f t="shared" si="1"/>
        <v>100.93</v>
      </c>
      <c r="E345" s="16">
        <f t="shared" si="2"/>
        <v>1</v>
      </c>
      <c r="F345" s="10">
        <f t="shared" si="3"/>
        <v>1.966904281</v>
      </c>
      <c r="G345" s="11">
        <f t="shared" si="4"/>
        <v>63.46</v>
      </c>
      <c r="H345" s="10">
        <f t="shared" si="5"/>
        <v>119.444</v>
      </c>
      <c r="I345" s="10">
        <f t="shared" si="6"/>
        <v>12.67</v>
      </c>
      <c r="J345" s="12">
        <f t="shared" si="7"/>
        <v>19.965</v>
      </c>
      <c r="K345" s="13">
        <f t="shared" si="8"/>
        <v>0.9</v>
      </c>
      <c r="L345" s="10">
        <f t="shared" si="9"/>
        <v>0.156</v>
      </c>
      <c r="M345" s="10">
        <f t="shared" si="10"/>
        <v>0.01654354598</v>
      </c>
      <c r="N345" s="14">
        <f t="shared" si="11"/>
        <v>1.84</v>
      </c>
      <c r="O345" s="9">
        <f t="shared" si="12"/>
        <v>539</v>
      </c>
      <c r="P345" s="9">
        <f t="shared" si="13"/>
        <v>63.82</v>
      </c>
    </row>
    <row r="346">
      <c r="A346" s="8">
        <v>345.0</v>
      </c>
      <c r="B346" s="15">
        <v>0.009</v>
      </c>
      <c r="C346" s="8">
        <v>0.333</v>
      </c>
      <c r="D346" s="9">
        <f t="shared" si="1"/>
        <v>107.05</v>
      </c>
      <c r="E346" s="16">
        <f t="shared" si="2"/>
        <v>1.02</v>
      </c>
      <c r="F346" s="10">
        <f t="shared" si="3"/>
        <v>1.966884036</v>
      </c>
      <c r="G346" s="11">
        <f t="shared" si="4"/>
        <v>63.59</v>
      </c>
      <c r="H346" s="10">
        <f t="shared" si="5"/>
        <v>119.294</v>
      </c>
      <c r="I346" s="10">
        <f t="shared" si="6"/>
        <v>12.63</v>
      </c>
      <c r="J346" s="12">
        <f t="shared" si="7"/>
        <v>19.862</v>
      </c>
      <c r="K346" s="13">
        <f t="shared" si="8"/>
        <v>0.9</v>
      </c>
      <c r="L346" s="10">
        <f t="shared" si="9"/>
        <v>0.156</v>
      </c>
      <c r="M346" s="10">
        <f t="shared" si="10"/>
        <v>0.01651938239</v>
      </c>
      <c r="N346" s="14">
        <f t="shared" si="11"/>
        <v>1.84</v>
      </c>
      <c r="O346" s="9">
        <f t="shared" si="12"/>
        <v>539</v>
      </c>
      <c r="P346" s="9">
        <f t="shared" si="13"/>
        <v>64.01</v>
      </c>
    </row>
    <row r="347">
      <c r="A347" s="8">
        <v>346.0</v>
      </c>
      <c r="B347" s="15">
        <v>0.014</v>
      </c>
      <c r="C347" s="8">
        <v>0.412</v>
      </c>
      <c r="D347" s="9">
        <f t="shared" si="1"/>
        <v>133.51</v>
      </c>
      <c r="E347" s="16">
        <f t="shared" si="2"/>
        <v>1.04</v>
      </c>
      <c r="F347" s="10">
        <f t="shared" si="3"/>
        <v>1.966863909</v>
      </c>
      <c r="G347" s="11">
        <f t="shared" si="4"/>
        <v>63.79</v>
      </c>
      <c r="H347" s="10">
        <f t="shared" si="5"/>
        <v>119.18</v>
      </c>
      <c r="I347" s="10">
        <f t="shared" si="6"/>
        <v>12.6</v>
      </c>
      <c r="J347" s="12">
        <f t="shared" si="7"/>
        <v>19.752</v>
      </c>
      <c r="K347" s="13">
        <f t="shared" si="8"/>
        <v>0.901</v>
      </c>
      <c r="L347" s="10">
        <f t="shared" si="9"/>
        <v>0.156</v>
      </c>
      <c r="M347" s="10">
        <f t="shared" si="10"/>
        <v>0.01649532438</v>
      </c>
      <c r="N347" s="14">
        <f t="shared" si="11"/>
        <v>1.83</v>
      </c>
      <c r="O347" s="9">
        <f t="shared" si="12"/>
        <v>539</v>
      </c>
      <c r="P347" s="9">
        <f t="shared" si="13"/>
        <v>64.19</v>
      </c>
    </row>
    <row r="348">
      <c r="A348" s="8">
        <v>347.0</v>
      </c>
      <c r="B348" s="15">
        <v>0.007</v>
      </c>
      <c r="C348" s="8">
        <v>0.301</v>
      </c>
      <c r="D348" s="9">
        <f t="shared" si="1"/>
        <v>94.41</v>
      </c>
      <c r="E348" s="16">
        <f t="shared" si="2"/>
        <v>0.97</v>
      </c>
      <c r="F348" s="10">
        <f t="shared" si="3"/>
        <v>1.966843898</v>
      </c>
      <c r="G348" s="11">
        <f t="shared" si="4"/>
        <v>63.88</v>
      </c>
      <c r="H348" s="10">
        <f t="shared" si="5"/>
        <v>119.019</v>
      </c>
      <c r="I348" s="10">
        <f t="shared" si="6"/>
        <v>12.57</v>
      </c>
      <c r="J348" s="12">
        <f t="shared" si="7"/>
        <v>19.678</v>
      </c>
      <c r="K348" s="13">
        <f t="shared" si="8"/>
        <v>0.901</v>
      </c>
      <c r="L348" s="10">
        <f t="shared" si="9"/>
        <v>0.156</v>
      </c>
      <c r="M348" s="10">
        <f t="shared" si="10"/>
        <v>0.01647137117</v>
      </c>
      <c r="N348" s="14">
        <f t="shared" si="11"/>
        <v>1.83</v>
      </c>
      <c r="O348" s="9">
        <f t="shared" si="12"/>
        <v>539</v>
      </c>
      <c r="P348" s="9">
        <f t="shared" si="13"/>
        <v>64.38</v>
      </c>
    </row>
    <row r="349">
      <c r="A349" s="8">
        <v>348.0</v>
      </c>
      <c r="B349" s="15">
        <v>0.01</v>
      </c>
      <c r="C349" s="8">
        <v>0.349</v>
      </c>
      <c r="D349" s="9">
        <f t="shared" si="1"/>
        <v>112.84</v>
      </c>
      <c r="E349" s="16">
        <f t="shared" si="2"/>
        <v>1.03</v>
      </c>
      <c r="F349" s="10">
        <f t="shared" si="3"/>
        <v>1.966824003</v>
      </c>
      <c r="G349" s="11">
        <f t="shared" si="4"/>
        <v>64.02</v>
      </c>
      <c r="H349" s="10">
        <f t="shared" si="5"/>
        <v>118.876</v>
      </c>
      <c r="I349" s="10">
        <f t="shared" si="6"/>
        <v>12.53</v>
      </c>
      <c r="J349" s="12">
        <f t="shared" si="7"/>
        <v>19.572</v>
      </c>
      <c r="K349" s="13">
        <f t="shared" si="8"/>
        <v>0.901</v>
      </c>
      <c r="L349" s="10">
        <f t="shared" si="9"/>
        <v>0.156</v>
      </c>
      <c r="M349" s="10">
        <f t="shared" si="10"/>
        <v>0.01644752201</v>
      </c>
      <c r="N349" s="14">
        <f t="shared" si="11"/>
        <v>1.83</v>
      </c>
      <c r="O349" s="9">
        <f t="shared" si="12"/>
        <v>539</v>
      </c>
      <c r="P349" s="9">
        <f t="shared" si="13"/>
        <v>64.56</v>
      </c>
    </row>
    <row r="350">
      <c r="A350" s="8">
        <v>349.0</v>
      </c>
      <c r="B350" s="15">
        <v>0.011</v>
      </c>
      <c r="C350" s="8">
        <v>0.38</v>
      </c>
      <c r="D350" s="9">
        <f t="shared" si="1"/>
        <v>118.35</v>
      </c>
      <c r="E350" s="16">
        <f t="shared" si="2"/>
        <v>0.96</v>
      </c>
      <c r="F350" s="10">
        <f t="shared" si="3"/>
        <v>1.966804223</v>
      </c>
      <c r="G350" s="11">
        <f t="shared" si="4"/>
        <v>64.18</v>
      </c>
      <c r="H350" s="10">
        <f t="shared" si="5"/>
        <v>118.741</v>
      </c>
      <c r="I350" s="10">
        <f t="shared" si="6"/>
        <v>12.5</v>
      </c>
      <c r="J350" s="12">
        <f t="shared" si="7"/>
        <v>19.476</v>
      </c>
      <c r="K350" s="13">
        <f t="shared" si="8"/>
        <v>0.901</v>
      </c>
      <c r="L350" s="10">
        <f t="shared" si="9"/>
        <v>0.156</v>
      </c>
      <c r="M350" s="10">
        <f t="shared" si="10"/>
        <v>0.01642377614</v>
      </c>
      <c r="N350" s="14">
        <f t="shared" si="11"/>
        <v>1.82</v>
      </c>
      <c r="O350" s="9">
        <f t="shared" si="12"/>
        <v>539</v>
      </c>
      <c r="P350" s="9">
        <f t="shared" si="13"/>
        <v>64.75</v>
      </c>
    </row>
    <row r="351">
      <c r="A351" s="8">
        <v>350.0</v>
      </c>
      <c r="B351" s="15">
        <v>0.025</v>
      </c>
      <c r="C351" s="8">
        <v>0.555</v>
      </c>
      <c r="D351" s="9">
        <f t="shared" si="1"/>
        <v>178.41</v>
      </c>
      <c r="E351" s="16">
        <f t="shared" si="2"/>
        <v>1.02</v>
      </c>
      <c r="F351" s="10">
        <f t="shared" si="3"/>
        <v>1.966784557</v>
      </c>
      <c r="G351" s="11">
        <f t="shared" si="4"/>
        <v>64.5</v>
      </c>
      <c r="H351" s="10">
        <f t="shared" si="5"/>
        <v>118.728</v>
      </c>
      <c r="I351" s="10">
        <f t="shared" si="6"/>
        <v>12.48</v>
      </c>
      <c r="J351" s="12">
        <f t="shared" si="7"/>
        <v>19.349</v>
      </c>
      <c r="K351" s="13">
        <f t="shared" si="8"/>
        <v>0.902</v>
      </c>
      <c r="L351" s="10">
        <f t="shared" si="9"/>
        <v>0.156</v>
      </c>
      <c r="M351" s="10">
        <f t="shared" si="10"/>
        <v>0.01640013283</v>
      </c>
      <c r="N351" s="14">
        <f t="shared" si="11"/>
        <v>1.82</v>
      </c>
      <c r="O351" s="9">
        <f t="shared" si="12"/>
        <v>539</v>
      </c>
      <c r="P351" s="9">
        <f t="shared" si="13"/>
        <v>64.94</v>
      </c>
    </row>
    <row r="352">
      <c r="A352" s="8">
        <v>351.0</v>
      </c>
      <c r="B352" s="15">
        <v>0.017</v>
      </c>
      <c r="C352" s="8">
        <v>0.46</v>
      </c>
      <c r="D352" s="9">
        <f t="shared" si="1"/>
        <v>147.12</v>
      </c>
      <c r="E352" s="16">
        <f t="shared" si="2"/>
        <v>1.01</v>
      </c>
      <c r="F352" s="10">
        <f t="shared" si="3"/>
        <v>1.966765003</v>
      </c>
      <c r="G352" s="11">
        <f t="shared" si="4"/>
        <v>64.74</v>
      </c>
      <c r="H352" s="10">
        <f t="shared" si="5"/>
        <v>118.64</v>
      </c>
      <c r="I352" s="10">
        <f t="shared" si="6"/>
        <v>12.45</v>
      </c>
      <c r="J352" s="12">
        <f t="shared" si="7"/>
        <v>19.231</v>
      </c>
      <c r="K352" s="13">
        <f t="shared" si="8"/>
        <v>0.902</v>
      </c>
      <c r="L352" s="10">
        <f t="shared" si="9"/>
        <v>0.156</v>
      </c>
      <c r="M352" s="10">
        <f t="shared" si="10"/>
        <v>0.01637659134</v>
      </c>
      <c r="N352" s="14">
        <f t="shared" si="11"/>
        <v>1.82</v>
      </c>
      <c r="O352" s="9">
        <f t="shared" si="12"/>
        <v>539</v>
      </c>
      <c r="P352" s="9">
        <f t="shared" si="13"/>
        <v>65.12</v>
      </c>
    </row>
    <row r="353">
      <c r="A353" s="8">
        <v>352.0</v>
      </c>
      <c r="B353" s="15">
        <v>0.017</v>
      </c>
      <c r="C353" s="8">
        <v>0.46</v>
      </c>
      <c r="D353" s="9">
        <f t="shared" si="1"/>
        <v>147.12</v>
      </c>
      <c r="E353" s="16">
        <f t="shared" si="2"/>
        <v>1.01</v>
      </c>
      <c r="F353" s="10">
        <f t="shared" si="3"/>
        <v>1.966745561</v>
      </c>
      <c r="G353" s="11">
        <f t="shared" si="4"/>
        <v>64.97</v>
      </c>
      <c r="H353" s="10">
        <f t="shared" si="5"/>
        <v>118.552</v>
      </c>
      <c r="I353" s="10">
        <f t="shared" si="6"/>
        <v>12.43</v>
      </c>
      <c r="J353" s="12">
        <f t="shared" si="7"/>
        <v>19.132</v>
      </c>
      <c r="K353" s="13">
        <f t="shared" si="8"/>
        <v>0.902</v>
      </c>
      <c r="L353" s="10">
        <f t="shared" si="9"/>
        <v>0.155</v>
      </c>
      <c r="M353" s="10">
        <f t="shared" si="10"/>
        <v>0.01624832305</v>
      </c>
      <c r="N353" s="14">
        <f t="shared" si="11"/>
        <v>1.8</v>
      </c>
      <c r="O353" s="9">
        <f t="shared" si="12"/>
        <v>539</v>
      </c>
      <c r="P353" s="9">
        <f t="shared" si="13"/>
        <v>65.31</v>
      </c>
    </row>
    <row r="354">
      <c r="A354" s="8">
        <v>353.0</v>
      </c>
      <c r="B354" s="15">
        <v>0.009</v>
      </c>
      <c r="C354" s="8">
        <v>0.333</v>
      </c>
      <c r="D354" s="9">
        <f t="shared" si="1"/>
        <v>107.05</v>
      </c>
      <c r="E354" s="16">
        <f t="shared" si="2"/>
        <v>1.02</v>
      </c>
      <c r="F354" s="10">
        <f t="shared" si="3"/>
        <v>1.96672623</v>
      </c>
      <c r="G354" s="11">
        <f t="shared" si="4"/>
        <v>65.09</v>
      </c>
      <c r="H354" s="10">
        <f t="shared" si="5"/>
        <v>118.405</v>
      </c>
      <c r="I354" s="10">
        <f t="shared" si="6"/>
        <v>12.39</v>
      </c>
      <c r="J354" s="12">
        <f t="shared" si="7"/>
        <v>19.035</v>
      </c>
      <c r="K354" s="13">
        <f t="shared" si="8"/>
        <v>0.903</v>
      </c>
      <c r="L354" s="10">
        <f t="shared" si="9"/>
        <v>0.155</v>
      </c>
      <c r="M354" s="10">
        <f t="shared" si="10"/>
        <v>0.01622513262</v>
      </c>
      <c r="N354" s="14">
        <f t="shared" si="11"/>
        <v>1.8</v>
      </c>
      <c r="O354" s="9">
        <f t="shared" si="12"/>
        <v>539</v>
      </c>
      <c r="P354" s="9">
        <f t="shared" si="13"/>
        <v>65.49</v>
      </c>
    </row>
    <row r="355">
      <c r="A355" s="8">
        <v>354.0</v>
      </c>
      <c r="B355" s="15">
        <v>0.014</v>
      </c>
      <c r="C355" s="8">
        <v>0.412</v>
      </c>
      <c r="D355" s="9">
        <f t="shared" si="1"/>
        <v>133.51</v>
      </c>
      <c r="E355" s="16">
        <f t="shared" si="2"/>
        <v>1.04</v>
      </c>
      <c r="F355" s="10">
        <f t="shared" si="3"/>
        <v>1.966707009</v>
      </c>
      <c r="G355" s="11">
        <f t="shared" si="4"/>
        <v>65.29</v>
      </c>
      <c r="H355" s="10">
        <f t="shared" si="5"/>
        <v>118.293</v>
      </c>
      <c r="I355" s="10">
        <f t="shared" si="6"/>
        <v>12.37</v>
      </c>
      <c r="J355" s="12">
        <f t="shared" si="7"/>
        <v>18.946</v>
      </c>
      <c r="K355" s="13">
        <f t="shared" si="8"/>
        <v>0.903</v>
      </c>
      <c r="L355" s="10">
        <f t="shared" si="9"/>
        <v>0.155</v>
      </c>
      <c r="M355" s="10">
        <f t="shared" si="10"/>
        <v>0.01620204122</v>
      </c>
      <c r="N355" s="14">
        <f t="shared" si="11"/>
        <v>1.79</v>
      </c>
      <c r="O355" s="9">
        <f t="shared" si="12"/>
        <v>539</v>
      </c>
      <c r="P355" s="9">
        <f t="shared" si="13"/>
        <v>65.68</v>
      </c>
    </row>
    <row r="356">
      <c r="A356" s="8">
        <v>355.0</v>
      </c>
      <c r="B356" s="15">
        <v>0.022</v>
      </c>
      <c r="C356" s="8">
        <v>0.523</v>
      </c>
      <c r="D356" s="9">
        <f t="shared" si="1"/>
        <v>167.37</v>
      </c>
      <c r="E356" s="16">
        <f t="shared" si="2"/>
        <v>1.01</v>
      </c>
      <c r="F356" s="10">
        <f t="shared" si="3"/>
        <v>1.966687896</v>
      </c>
      <c r="G356" s="11">
        <f t="shared" si="4"/>
        <v>65.57</v>
      </c>
      <c r="H356" s="10">
        <f t="shared" si="5"/>
        <v>118.25</v>
      </c>
      <c r="I356" s="10">
        <f t="shared" si="6"/>
        <v>12.34</v>
      </c>
      <c r="J356" s="12">
        <f t="shared" si="7"/>
        <v>18.82</v>
      </c>
      <c r="K356" s="13">
        <f t="shared" si="8"/>
        <v>0.903</v>
      </c>
      <c r="L356" s="10">
        <f t="shared" si="9"/>
        <v>0.155</v>
      </c>
      <c r="M356" s="10">
        <f t="shared" si="10"/>
        <v>0.01617904812</v>
      </c>
      <c r="N356" s="14">
        <f t="shared" si="11"/>
        <v>1.79</v>
      </c>
      <c r="O356" s="9">
        <f t="shared" si="12"/>
        <v>539</v>
      </c>
      <c r="P356" s="9">
        <f t="shared" si="13"/>
        <v>65.86</v>
      </c>
    </row>
    <row r="357">
      <c r="A357" s="8">
        <v>356.0</v>
      </c>
      <c r="B357" s="15">
        <v>0.014</v>
      </c>
      <c r="C357" s="8">
        <v>0.412</v>
      </c>
      <c r="D357" s="9">
        <f t="shared" si="1"/>
        <v>133.51</v>
      </c>
      <c r="E357" s="16">
        <f t="shared" si="2"/>
        <v>1.04</v>
      </c>
      <c r="F357" s="10">
        <f t="shared" si="3"/>
        <v>1.966668892</v>
      </c>
      <c r="G357" s="11">
        <f t="shared" si="4"/>
        <v>65.76</v>
      </c>
      <c r="H357" s="10">
        <f t="shared" si="5"/>
        <v>118.138</v>
      </c>
      <c r="I357" s="10">
        <f t="shared" si="6"/>
        <v>12.31</v>
      </c>
      <c r="J357" s="12">
        <f t="shared" si="7"/>
        <v>18.72</v>
      </c>
      <c r="K357" s="13">
        <f t="shared" si="8"/>
        <v>0.904</v>
      </c>
      <c r="L357" s="10">
        <f t="shared" si="9"/>
        <v>0.155</v>
      </c>
      <c r="M357" s="10">
        <f t="shared" si="10"/>
        <v>0.01615615264</v>
      </c>
      <c r="N357" s="14">
        <f t="shared" si="11"/>
        <v>1.79</v>
      </c>
      <c r="O357" s="9">
        <f t="shared" si="12"/>
        <v>539</v>
      </c>
      <c r="P357" s="9">
        <f t="shared" si="13"/>
        <v>66.05</v>
      </c>
    </row>
    <row r="358">
      <c r="A358" s="8">
        <v>357.0</v>
      </c>
      <c r="B358" s="15">
        <v>0.025</v>
      </c>
      <c r="C358" s="8">
        <v>0.555</v>
      </c>
      <c r="D358" s="9">
        <f t="shared" si="1"/>
        <v>178.41</v>
      </c>
      <c r="E358" s="16">
        <f t="shared" si="2"/>
        <v>1.02</v>
      </c>
      <c r="F358" s="10">
        <f t="shared" si="3"/>
        <v>1.966649995</v>
      </c>
      <c r="G358" s="11">
        <f t="shared" si="4"/>
        <v>66.08</v>
      </c>
      <c r="H358" s="10">
        <f t="shared" si="5"/>
        <v>118.123</v>
      </c>
      <c r="I358" s="10">
        <f t="shared" si="6"/>
        <v>12.29</v>
      </c>
      <c r="J358" s="12">
        <f t="shared" si="7"/>
        <v>18.599</v>
      </c>
      <c r="K358" s="13">
        <f t="shared" si="8"/>
        <v>0.904</v>
      </c>
      <c r="L358" s="10">
        <f t="shared" si="9"/>
        <v>0.155</v>
      </c>
      <c r="M358" s="10">
        <f t="shared" si="10"/>
        <v>0.01613335408</v>
      </c>
      <c r="N358" s="14">
        <f t="shared" si="11"/>
        <v>1.78</v>
      </c>
      <c r="O358" s="9">
        <f t="shared" si="12"/>
        <v>539</v>
      </c>
      <c r="P358" s="9">
        <f t="shared" si="13"/>
        <v>66.23</v>
      </c>
    </row>
    <row r="359">
      <c r="A359" s="8">
        <v>358.0</v>
      </c>
      <c r="B359" s="15">
        <v>0.007</v>
      </c>
      <c r="C359" s="8">
        <v>0.301</v>
      </c>
      <c r="D359" s="9">
        <f t="shared" si="1"/>
        <v>94.41</v>
      </c>
      <c r="E359" s="16">
        <f t="shared" si="2"/>
        <v>0.97</v>
      </c>
      <c r="F359" s="10">
        <f t="shared" si="3"/>
        <v>1.966631204</v>
      </c>
      <c r="G359" s="11">
        <f t="shared" si="4"/>
        <v>66.16</v>
      </c>
      <c r="H359" s="10">
        <f t="shared" si="5"/>
        <v>117.967</v>
      </c>
      <c r="I359" s="10">
        <f t="shared" si="6"/>
        <v>12.26</v>
      </c>
      <c r="J359" s="12">
        <f t="shared" si="7"/>
        <v>18.531</v>
      </c>
      <c r="K359" s="13">
        <f t="shared" si="8"/>
        <v>0.904</v>
      </c>
      <c r="L359" s="10">
        <f t="shared" si="9"/>
        <v>0.155</v>
      </c>
      <c r="M359" s="10">
        <f t="shared" si="10"/>
        <v>0.01611065177</v>
      </c>
      <c r="N359" s="14">
        <f t="shared" si="11"/>
        <v>1.78</v>
      </c>
      <c r="O359" s="9">
        <f t="shared" si="12"/>
        <v>539</v>
      </c>
      <c r="P359" s="9">
        <f t="shared" si="13"/>
        <v>66.42</v>
      </c>
    </row>
    <row r="360">
      <c r="A360" s="8">
        <v>359.0</v>
      </c>
      <c r="B360" s="8">
        <v>0.01</v>
      </c>
      <c r="C360" s="8">
        <v>0.349</v>
      </c>
      <c r="D360" s="9">
        <f t="shared" si="1"/>
        <v>112.84</v>
      </c>
      <c r="E360" s="9">
        <f t="shared" si="2"/>
        <v>1.03</v>
      </c>
      <c r="F360" s="10">
        <f t="shared" si="3"/>
        <v>1.966612519</v>
      </c>
      <c r="G360" s="11">
        <f t="shared" si="4"/>
        <v>66.29</v>
      </c>
      <c r="H360" s="10">
        <f t="shared" si="5"/>
        <v>117.828</v>
      </c>
      <c r="I360" s="10">
        <f t="shared" si="6"/>
        <v>12.23</v>
      </c>
      <c r="J360" s="12">
        <f t="shared" si="7"/>
        <v>18.449</v>
      </c>
      <c r="K360" s="13">
        <f t="shared" si="8"/>
        <v>0.905</v>
      </c>
      <c r="L360" s="10">
        <f t="shared" si="9"/>
        <v>0.155</v>
      </c>
      <c r="M360" s="10">
        <f t="shared" si="10"/>
        <v>0.01608804503</v>
      </c>
      <c r="N360" s="14">
        <f t="shared" si="11"/>
        <v>1.78</v>
      </c>
      <c r="O360" s="9">
        <f t="shared" si="12"/>
        <v>539</v>
      </c>
      <c r="P360" s="9">
        <f t="shared" si="13"/>
        <v>66.6</v>
      </c>
    </row>
    <row r="361">
      <c r="A361" s="8">
        <v>360.0</v>
      </c>
      <c r="B361" s="15">
        <v>0.009</v>
      </c>
      <c r="C361" s="8">
        <v>0.333</v>
      </c>
      <c r="D361" s="9">
        <f t="shared" si="1"/>
        <v>107.05</v>
      </c>
      <c r="E361" s="16">
        <f t="shared" si="2"/>
        <v>1.02</v>
      </c>
      <c r="F361" s="10">
        <f t="shared" si="3"/>
        <v>1.966593938</v>
      </c>
      <c r="G361" s="11">
        <f t="shared" si="4"/>
        <v>66.4</v>
      </c>
      <c r="H361" s="10">
        <f t="shared" si="5"/>
        <v>117.683</v>
      </c>
      <c r="I361" s="10">
        <f t="shared" si="6"/>
        <v>12.2</v>
      </c>
      <c r="J361" s="12">
        <f t="shared" si="7"/>
        <v>18.373</v>
      </c>
      <c r="K361" s="13">
        <f t="shared" si="8"/>
        <v>0.905</v>
      </c>
      <c r="L361" s="10">
        <f t="shared" si="9"/>
        <v>0.155</v>
      </c>
      <c r="M361" s="10">
        <f t="shared" si="10"/>
        <v>0.0160655332</v>
      </c>
      <c r="N361" s="14">
        <f t="shared" si="11"/>
        <v>1.78</v>
      </c>
      <c r="O361" s="9">
        <f t="shared" si="12"/>
        <v>539</v>
      </c>
      <c r="P361" s="9">
        <f t="shared" si="13"/>
        <v>66.79</v>
      </c>
    </row>
    <row r="362">
      <c r="A362" s="8">
        <v>361.0</v>
      </c>
      <c r="B362" s="15">
        <v>0.009</v>
      </c>
      <c r="C362" s="8">
        <v>0.333</v>
      </c>
      <c r="D362" s="9">
        <f t="shared" si="1"/>
        <v>107.05</v>
      </c>
      <c r="E362" s="16">
        <f t="shared" si="2"/>
        <v>1.02</v>
      </c>
      <c r="F362" s="10">
        <f t="shared" si="3"/>
        <v>1.96657546</v>
      </c>
      <c r="G362" s="11">
        <f t="shared" si="4"/>
        <v>66.51</v>
      </c>
      <c r="H362" s="10">
        <f t="shared" si="5"/>
        <v>117.539</v>
      </c>
      <c r="I362" s="10">
        <f t="shared" si="6"/>
        <v>12.17</v>
      </c>
      <c r="J362" s="12">
        <f t="shared" si="7"/>
        <v>18.298</v>
      </c>
      <c r="K362" s="13">
        <f t="shared" si="8"/>
        <v>0.905</v>
      </c>
      <c r="L362" s="10">
        <f t="shared" si="9"/>
        <v>0.155</v>
      </c>
      <c r="M362" s="10">
        <f t="shared" si="10"/>
        <v>0.0160431156</v>
      </c>
      <c r="N362" s="14">
        <f t="shared" si="11"/>
        <v>1.77</v>
      </c>
      <c r="O362" s="9">
        <f t="shared" si="12"/>
        <v>539</v>
      </c>
      <c r="P362" s="9">
        <f t="shared" si="13"/>
        <v>66.98</v>
      </c>
    </row>
    <row r="363">
      <c r="A363" s="8">
        <v>362.0</v>
      </c>
      <c r="B363" s="8">
        <v>0.007</v>
      </c>
      <c r="C363" s="8">
        <v>0.301</v>
      </c>
      <c r="D363" s="9">
        <f t="shared" si="1"/>
        <v>94.41</v>
      </c>
      <c r="E363" s="9">
        <f t="shared" si="2"/>
        <v>0.97</v>
      </c>
      <c r="F363" s="10">
        <f t="shared" si="3"/>
        <v>1.966557085</v>
      </c>
      <c r="G363" s="11">
        <f t="shared" si="4"/>
        <v>66.59</v>
      </c>
      <c r="H363" s="10">
        <f t="shared" si="5"/>
        <v>117.385</v>
      </c>
      <c r="I363" s="10">
        <f t="shared" si="6"/>
        <v>12.13</v>
      </c>
      <c r="J363" s="12">
        <f t="shared" si="7"/>
        <v>18.216</v>
      </c>
      <c r="K363" s="13">
        <f t="shared" si="8"/>
        <v>0.905</v>
      </c>
      <c r="L363" s="10">
        <f t="shared" si="9"/>
        <v>0.154</v>
      </c>
      <c r="M363" s="10">
        <f t="shared" si="10"/>
        <v>0.01591743163</v>
      </c>
      <c r="N363" s="14">
        <f t="shared" si="11"/>
        <v>1.76</v>
      </c>
      <c r="O363" s="9">
        <f t="shared" si="12"/>
        <v>539</v>
      </c>
      <c r="P363" s="9">
        <f t="shared" si="13"/>
        <v>67.16</v>
      </c>
    </row>
    <row r="364">
      <c r="A364" s="8">
        <v>363.0</v>
      </c>
      <c r="B364" s="15">
        <v>0.013</v>
      </c>
      <c r="C364" s="8">
        <v>0.396</v>
      </c>
      <c r="D364" s="9">
        <f t="shared" si="1"/>
        <v>128.66</v>
      </c>
      <c r="E364" s="16">
        <f t="shared" si="2"/>
        <v>1.04</v>
      </c>
      <c r="F364" s="10">
        <f t="shared" si="3"/>
        <v>1.966538813</v>
      </c>
      <c r="G364" s="11">
        <f t="shared" si="4"/>
        <v>66.76</v>
      </c>
      <c r="H364" s="10">
        <f t="shared" si="5"/>
        <v>117.268</v>
      </c>
      <c r="I364" s="10">
        <f t="shared" si="6"/>
        <v>12.1</v>
      </c>
      <c r="J364" s="12">
        <f t="shared" si="7"/>
        <v>18.125</v>
      </c>
      <c r="K364" s="13">
        <f t="shared" si="8"/>
        <v>0.906</v>
      </c>
      <c r="L364" s="10">
        <f t="shared" si="9"/>
        <v>0.154</v>
      </c>
      <c r="M364" s="10">
        <f t="shared" si="10"/>
        <v>0.01589534398</v>
      </c>
      <c r="N364" s="14">
        <f t="shared" si="11"/>
        <v>1.75</v>
      </c>
      <c r="O364" s="9">
        <f t="shared" si="12"/>
        <v>539</v>
      </c>
      <c r="P364" s="9">
        <f t="shared" si="13"/>
        <v>67.35</v>
      </c>
    </row>
    <row r="365">
      <c r="A365" s="8">
        <v>364.0</v>
      </c>
      <c r="B365" s="15">
        <v>0.011</v>
      </c>
      <c r="C365" s="8">
        <v>0.38</v>
      </c>
      <c r="D365" s="9">
        <f t="shared" si="1"/>
        <v>118.35</v>
      </c>
      <c r="E365" s="16">
        <f t="shared" si="2"/>
        <v>0.96</v>
      </c>
      <c r="F365" s="10">
        <f t="shared" si="3"/>
        <v>1.966520641</v>
      </c>
      <c r="G365" s="11">
        <f t="shared" si="4"/>
        <v>66.9</v>
      </c>
      <c r="H365" s="10">
        <f t="shared" si="5"/>
        <v>117.138</v>
      </c>
      <c r="I365" s="10">
        <f t="shared" si="6"/>
        <v>12.07</v>
      </c>
      <c r="J365" s="12">
        <f t="shared" si="7"/>
        <v>18.042</v>
      </c>
      <c r="K365" s="13">
        <f t="shared" si="8"/>
        <v>0.906</v>
      </c>
      <c r="L365" s="10">
        <f t="shared" si="9"/>
        <v>0.154</v>
      </c>
      <c r="M365" s="10">
        <f t="shared" si="10"/>
        <v>0.01587334802</v>
      </c>
      <c r="N365" s="14">
        <f t="shared" si="11"/>
        <v>1.75</v>
      </c>
      <c r="O365" s="9">
        <f t="shared" si="12"/>
        <v>539</v>
      </c>
      <c r="P365" s="9">
        <f t="shared" si="13"/>
        <v>67.53</v>
      </c>
    </row>
    <row r="366">
      <c r="A366" s="8">
        <v>365.0</v>
      </c>
      <c r="B366" s="15">
        <v>0.008</v>
      </c>
      <c r="C366" s="8">
        <v>0.317</v>
      </c>
      <c r="D366" s="9">
        <f t="shared" si="1"/>
        <v>100.93</v>
      </c>
      <c r="E366" s="16">
        <f t="shared" si="2"/>
        <v>1</v>
      </c>
      <c r="F366" s="10">
        <f t="shared" si="3"/>
        <v>1.966502569</v>
      </c>
      <c r="G366" s="11">
        <f t="shared" si="4"/>
        <v>67</v>
      </c>
      <c r="H366" s="10">
        <f t="shared" si="5"/>
        <v>116.99</v>
      </c>
      <c r="I366" s="10">
        <f t="shared" si="6"/>
        <v>12.04</v>
      </c>
      <c r="J366" s="12">
        <f t="shared" si="7"/>
        <v>17.97</v>
      </c>
      <c r="K366" s="13">
        <f t="shared" si="8"/>
        <v>0.906</v>
      </c>
      <c r="L366" s="10">
        <f t="shared" si="9"/>
        <v>0.154</v>
      </c>
      <c r="M366" s="10">
        <f t="shared" si="10"/>
        <v>0.01585144312</v>
      </c>
      <c r="N366" s="14">
        <f t="shared" si="11"/>
        <v>1.75</v>
      </c>
      <c r="O366" s="9">
        <f t="shared" si="12"/>
        <v>539</v>
      </c>
      <c r="P366" s="9">
        <f t="shared" si="13"/>
        <v>67.72</v>
      </c>
    </row>
    <row r="367">
      <c r="A367" s="8">
        <v>366.0</v>
      </c>
      <c r="B367" s="15">
        <v>0.001</v>
      </c>
      <c r="C367" s="8">
        <v>0.127</v>
      </c>
      <c r="D367" s="9">
        <f t="shared" si="1"/>
        <v>35.68</v>
      </c>
      <c r="E367" s="16">
        <f t="shared" si="2"/>
        <v>0.78</v>
      </c>
      <c r="F367" s="10">
        <f t="shared" si="3"/>
        <v>1.966484596</v>
      </c>
      <c r="G367" s="11">
        <f t="shared" si="4"/>
        <v>66.91</v>
      </c>
      <c r="H367" s="10">
        <f t="shared" si="5"/>
        <v>116.842</v>
      </c>
      <c r="I367" s="10">
        <f t="shared" si="6"/>
        <v>12.01</v>
      </c>
      <c r="J367" s="12">
        <f t="shared" si="7"/>
        <v>17.949</v>
      </c>
      <c r="K367" s="13">
        <f t="shared" si="8"/>
        <v>0.906</v>
      </c>
      <c r="L367" s="10">
        <f t="shared" si="9"/>
        <v>0.154</v>
      </c>
      <c r="M367" s="10">
        <f t="shared" si="10"/>
        <v>0.01582962866</v>
      </c>
      <c r="N367" s="14">
        <f t="shared" si="11"/>
        <v>1.75</v>
      </c>
      <c r="O367" s="9">
        <f t="shared" si="12"/>
        <v>539</v>
      </c>
      <c r="P367" s="9">
        <f t="shared" si="13"/>
        <v>67.9</v>
      </c>
    </row>
    <row r="368">
      <c r="A368" s="8">
        <v>367.0</v>
      </c>
      <c r="B368" s="15">
        <v>0.005</v>
      </c>
      <c r="C368" s="8">
        <v>0.238</v>
      </c>
      <c r="D368" s="9">
        <f t="shared" si="1"/>
        <v>79.79</v>
      </c>
      <c r="E368" s="16">
        <f t="shared" si="2"/>
        <v>1.11</v>
      </c>
      <c r="F368" s="10">
        <f t="shared" si="3"/>
        <v>1.966466722</v>
      </c>
      <c r="G368" s="11">
        <f t="shared" si="4"/>
        <v>66.95</v>
      </c>
      <c r="H368" s="10">
        <f t="shared" si="5"/>
        <v>116.684</v>
      </c>
      <c r="I368" s="10">
        <f t="shared" si="6"/>
        <v>11.98</v>
      </c>
      <c r="J368" s="12">
        <f t="shared" si="7"/>
        <v>17.894</v>
      </c>
      <c r="K368" s="13">
        <f t="shared" si="8"/>
        <v>0.906</v>
      </c>
      <c r="L368" s="10">
        <f t="shared" si="9"/>
        <v>0.154</v>
      </c>
      <c r="M368" s="10">
        <f t="shared" si="10"/>
        <v>0.01580790401</v>
      </c>
      <c r="N368" s="14">
        <f t="shared" si="11"/>
        <v>1.74</v>
      </c>
      <c r="O368" s="9">
        <f t="shared" si="12"/>
        <v>539</v>
      </c>
      <c r="P368" s="9">
        <f t="shared" si="13"/>
        <v>68.09</v>
      </c>
    </row>
    <row r="369">
      <c r="A369" s="8">
        <v>368.0</v>
      </c>
      <c r="B369" s="15">
        <v>9.93E-4</v>
      </c>
      <c r="C369" s="8">
        <v>0.111</v>
      </c>
      <c r="D369" s="9">
        <f t="shared" si="1"/>
        <v>35.56</v>
      </c>
      <c r="E369" s="16">
        <f t="shared" si="2"/>
        <v>1.01</v>
      </c>
      <c r="F369" s="10">
        <f t="shared" si="3"/>
        <v>1.966448946</v>
      </c>
      <c r="G369" s="11">
        <f t="shared" si="4"/>
        <v>66.86</v>
      </c>
      <c r="H369" s="10">
        <f t="shared" si="5"/>
        <v>116.536</v>
      </c>
      <c r="I369" s="10">
        <f t="shared" si="6"/>
        <v>11.95</v>
      </c>
      <c r="J369" s="12">
        <f t="shared" si="7"/>
        <v>17.873</v>
      </c>
      <c r="K369" s="13">
        <f t="shared" si="8"/>
        <v>0.907</v>
      </c>
      <c r="L369" s="10">
        <f t="shared" si="9"/>
        <v>0.154</v>
      </c>
      <c r="M369" s="10">
        <f t="shared" si="10"/>
        <v>0.01578626857</v>
      </c>
      <c r="N369" s="14">
        <f t="shared" si="11"/>
        <v>1.74</v>
      </c>
      <c r="O369" s="9">
        <f t="shared" si="12"/>
        <v>539</v>
      </c>
      <c r="P369" s="9">
        <f t="shared" si="13"/>
        <v>68.27</v>
      </c>
    </row>
    <row r="370">
      <c r="A370" s="8">
        <v>369.0</v>
      </c>
      <c r="B370" s="15">
        <v>9.93E-4</v>
      </c>
      <c r="C370" s="8">
        <v>0.111</v>
      </c>
      <c r="D370" s="9">
        <f t="shared" si="1"/>
        <v>35.56</v>
      </c>
      <c r="E370" s="16">
        <f t="shared" si="2"/>
        <v>1.01</v>
      </c>
      <c r="F370" s="10">
        <f t="shared" si="3"/>
        <v>1.966431267</v>
      </c>
      <c r="G370" s="11">
        <f t="shared" si="4"/>
        <v>66.78</v>
      </c>
      <c r="H370" s="10">
        <f t="shared" si="5"/>
        <v>116.389</v>
      </c>
      <c r="I370" s="10">
        <f t="shared" si="6"/>
        <v>11.91</v>
      </c>
      <c r="J370" s="12">
        <f t="shared" si="7"/>
        <v>17.835</v>
      </c>
      <c r="K370" s="13">
        <f t="shared" si="8"/>
        <v>0.907</v>
      </c>
      <c r="L370" s="10">
        <f t="shared" si="9"/>
        <v>0.154</v>
      </c>
      <c r="M370" s="10">
        <f t="shared" si="10"/>
        <v>0.01576472171</v>
      </c>
      <c r="N370" s="14">
        <f t="shared" si="11"/>
        <v>1.74</v>
      </c>
      <c r="O370" s="9">
        <f t="shared" si="12"/>
        <v>539</v>
      </c>
      <c r="P370" s="9">
        <f t="shared" si="13"/>
        <v>68.46</v>
      </c>
    </row>
    <row r="371">
      <c r="A371" s="8">
        <v>370.0</v>
      </c>
      <c r="B371" s="15">
        <v>7.129E-4</v>
      </c>
      <c r="C371" s="8">
        <v>0.095</v>
      </c>
      <c r="D371" s="9">
        <f t="shared" si="1"/>
        <v>30.13</v>
      </c>
      <c r="E371" s="16">
        <f t="shared" si="2"/>
        <v>0.99</v>
      </c>
      <c r="F371" s="10">
        <f t="shared" si="3"/>
        <v>1.966413684</v>
      </c>
      <c r="G371" s="11">
        <f t="shared" si="4"/>
        <v>66.68</v>
      </c>
      <c r="H371" s="10">
        <f t="shared" si="5"/>
        <v>116.247</v>
      </c>
      <c r="I371" s="10">
        <f t="shared" si="6"/>
        <v>11.88</v>
      </c>
      <c r="J371" s="12">
        <f t="shared" si="7"/>
        <v>17.816</v>
      </c>
      <c r="K371" s="13">
        <f t="shared" si="8"/>
        <v>0.907</v>
      </c>
      <c r="L371" s="10">
        <f t="shared" si="9"/>
        <v>0.154</v>
      </c>
      <c r="M371" s="10">
        <f t="shared" si="10"/>
        <v>0.01574326285</v>
      </c>
      <c r="N371" s="14">
        <f t="shared" si="11"/>
        <v>1.74</v>
      </c>
      <c r="O371" s="9">
        <f t="shared" si="12"/>
        <v>539</v>
      </c>
      <c r="P371" s="9">
        <f t="shared" si="13"/>
        <v>68.65</v>
      </c>
    </row>
    <row r="372">
      <c r="A372" s="8">
        <v>371.0</v>
      </c>
      <c r="B372" s="15">
        <v>3.31E-4</v>
      </c>
      <c r="C372" s="8">
        <v>0.063</v>
      </c>
      <c r="D372" s="9">
        <f t="shared" si="1"/>
        <v>20.53</v>
      </c>
      <c r="E372" s="16">
        <f t="shared" si="2"/>
        <v>1.05</v>
      </c>
      <c r="F372" s="10">
        <f t="shared" si="3"/>
        <v>1.966396196</v>
      </c>
      <c r="G372" s="11">
        <f t="shared" si="4"/>
        <v>66.55</v>
      </c>
      <c r="H372" s="10">
        <f t="shared" si="5"/>
        <v>116.114</v>
      </c>
      <c r="I372" s="10">
        <f t="shared" si="6"/>
        <v>11.85</v>
      </c>
      <c r="J372" s="12">
        <f t="shared" si="7"/>
        <v>17.806</v>
      </c>
      <c r="K372" s="13">
        <f t="shared" si="8"/>
        <v>0.908</v>
      </c>
      <c r="L372" s="10">
        <f t="shared" si="9"/>
        <v>0.154</v>
      </c>
      <c r="M372" s="10">
        <f t="shared" si="10"/>
        <v>0.01572189138</v>
      </c>
      <c r="N372" s="14">
        <f t="shared" si="11"/>
        <v>1.73</v>
      </c>
      <c r="O372" s="9">
        <f t="shared" si="12"/>
        <v>539</v>
      </c>
      <c r="P372" s="9">
        <f t="shared" si="13"/>
        <v>68.83</v>
      </c>
    </row>
    <row r="373">
      <c r="A373" s="8">
        <v>372.0</v>
      </c>
      <c r="B373" s="8">
        <v>0.009</v>
      </c>
      <c r="C373" s="8">
        <v>0.333</v>
      </c>
      <c r="D373" s="9">
        <f t="shared" si="1"/>
        <v>107.05</v>
      </c>
      <c r="E373" s="9">
        <f t="shared" si="2"/>
        <v>1.02</v>
      </c>
      <c r="F373" s="10">
        <f t="shared" si="3"/>
        <v>1.966378803</v>
      </c>
      <c r="G373" s="11">
        <f t="shared" si="4"/>
        <v>66.66</v>
      </c>
      <c r="H373" s="10">
        <f t="shared" si="5"/>
        <v>115.977</v>
      </c>
      <c r="I373" s="10">
        <f t="shared" si="6"/>
        <v>11.82</v>
      </c>
      <c r="J373" s="12">
        <f t="shared" si="7"/>
        <v>17.732</v>
      </c>
      <c r="K373" s="13">
        <f t="shared" si="8"/>
        <v>0.908</v>
      </c>
      <c r="L373" s="10">
        <f t="shared" si="9"/>
        <v>0.154</v>
      </c>
      <c r="M373" s="10">
        <f t="shared" si="10"/>
        <v>0.01570060671</v>
      </c>
      <c r="N373" s="14">
        <f t="shared" si="11"/>
        <v>1.73</v>
      </c>
      <c r="O373" s="9">
        <f t="shared" si="12"/>
        <v>539</v>
      </c>
      <c r="P373" s="9">
        <f t="shared" si="13"/>
        <v>69.02</v>
      </c>
    </row>
    <row r="374">
      <c r="A374" s="8">
        <v>373.0</v>
      </c>
      <c r="B374" s="15">
        <v>7.129E-4</v>
      </c>
      <c r="C374" s="8">
        <v>0.095</v>
      </c>
      <c r="D374" s="9">
        <f t="shared" si="1"/>
        <v>30.13</v>
      </c>
      <c r="E374" s="16">
        <f t="shared" si="2"/>
        <v>0.99</v>
      </c>
      <c r="F374" s="10">
        <f t="shared" si="3"/>
        <v>1.966361504</v>
      </c>
      <c r="G374" s="11">
        <f t="shared" si="4"/>
        <v>66.56</v>
      </c>
      <c r="H374" s="10">
        <f t="shared" si="5"/>
        <v>115.836</v>
      </c>
      <c r="I374" s="10">
        <f t="shared" si="6"/>
        <v>11.79</v>
      </c>
      <c r="J374" s="12">
        <f t="shared" si="7"/>
        <v>17.713</v>
      </c>
      <c r="K374" s="13">
        <f t="shared" si="8"/>
        <v>0.908</v>
      </c>
      <c r="L374" s="10">
        <f t="shared" si="9"/>
        <v>0.154</v>
      </c>
      <c r="M374" s="10">
        <f t="shared" si="10"/>
        <v>0.01567940825</v>
      </c>
      <c r="N374" s="14">
        <f t="shared" si="11"/>
        <v>1.73</v>
      </c>
      <c r="O374" s="9">
        <f t="shared" si="12"/>
        <v>539</v>
      </c>
      <c r="P374" s="9">
        <f t="shared" si="13"/>
        <v>69.2</v>
      </c>
    </row>
    <row r="375">
      <c r="A375" s="8">
        <v>374.0</v>
      </c>
      <c r="B375" s="15">
        <v>0.001</v>
      </c>
      <c r="C375" s="8">
        <v>0.127</v>
      </c>
      <c r="D375" s="9">
        <f t="shared" si="1"/>
        <v>35.68</v>
      </c>
      <c r="E375" s="16">
        <f t="shared" si="2"/>
        <v>0.78</v>
      </c>
      <c r="F375" s="10">
        <f t="shared" si="3"/>
        <v>1.966344297</v>
      </c>
      <c r="G375" s="11">
        <f t="shared" si="4"/>
        <v>66.48</v>
      </c>
      <c r="H375" s="10">
        <f t="shared" si="5"/>
        <v>115.692</v>
      </c>
      <c r="I375" s="10">
        <f t="shared" si="6"/>
        <v>11.76</v>
      </c>
      <c r="J375" s="12">
        <f t="shared" si="7"/>
        <v>17.69</v>
      </c>
      <c r="K375" s="13">
        <f t="shared" si="8"/>
        <v>0.908</v>
      </c>
      <c r="L375" s="10">
        <f t="shared" si="9"/>
        <v>0.153</v>
      </c>
      <c r="M375" s="10">
        <f t="shared" si="10"/>
        <v>0.01555661819</v>
      </c>
      <c r="N375" s="14">
        <f t="shared" si="11"/>
        <v>1.71</v>
      </c>
      <c r="O375" s="9">
        <f t="shared" si="12"/>
        <v>539</v>
      </c>
      <c r="P375" s="9">
        <f t="shared" si="13"/>
        <v>69.39</v>
      </c>
    </row>
    <row r="376">
      <c r="A376" s="8">
        <v>375.0</v>
      </c>
      <c r="B376" s="15">
        <v>0.001</v>
      </c>
      <c r="C376" s="8">
        <v>0.127</v>
      </c>
      <c r="D376" s="9">
        <f t="shared" si="1"/>
        <v>35.68</v>
      </c>
      <c r="E376" s="16">
        <f t="shared" si="2"/>
        <v>0.78</v>
      </c>
      <c r="F376" s="10">
        <f t="shared" si="3"/>
        <v>1.966327183</v>
      </c>
      <c r="G376" s="11">
        <f t="shared" si="4"/>
        <v>66.4</v>
      </c>
      <c r="H376" s="10">
        <f t="shared" si="5"/>
        <v>115.548</v>
      </c>
      <c r="I376" s="10">
        <f t="shared" si="6"/>
        <v>11.73</v>
      </c>
      <c r="J376" s="12">
        <f t="shared" si="7"/>
        <v>17.666</v>
      </c>
      <c r="K376" s="13">
        <f t="shared" si="8"/>
        <v>0.907</v>
      </c>
      <c r="L376" s="10">
        <f t="shared" si="9"/>
        <v>0.153</v>
      </c>
      <c r="M376" s="10">
        <f t="shared" si="10"/>
        <v>0.01553572697</v>
      </c>
      <c r="N376" s="14">
        <f t="shared" si="11"/>
        <v>1.71</v>
      </c>
      <c r="O376" s="9">
        <f t="shared" si="12"/>
        <v>539</v>
      </c>
      <c r="P376" s="9">
        <f t="shared" si="13"/>
        <v>69.57</v>
      </c>
    </row>
    <row r="377">
      <c r="A377" s="8">
        <v>376.0</v>
      </c>
      <c r="B377" s="15">
        <v>5.092E-4</v>
      </c>
      <c r="C377" s="8">
        <v>0.079</v>
      </c>
      <c r="D377" s="9">
        <f t="shared" si="1"/>
        <v>25.46</v>
      </c>
      <c r="E377" s="16">
        <f t="shared" si="2"/>
        <v>1.03</v>
      </c>
      <c r="F377" s="10">
        <f t="shared" si="3"/>
        <v>1.966310161</v>
      </c>
      <c r="G377" s="11">
        <f t="shared" si="4"/>
        <v>66.29</v>
      </c>
      <c r="H377" s="10">
        <f t="shared" si="5"/>
        <v>115.413</v>
      </c>
      <c r="I377" s="10">
        <f t="shared" si="6"/>
        <v>11.7</v>
      </c>
      <c r="J377" s="12">
        <f t="shared" si="7"/>
        <v>17.65</v>
      </c>
      <c r="K377" s="13">
        <f t="shared" si="8"/>
        <v>0.908</v>
      </c>
      <c r="L377" s="10">
        <f t="shared" si="9"/>
        <v>0.153</v>
      </c>
      <c r="M377" s="10">
        <f t="shared" si="10"/>
        <v>0.01551491969</v>
      </c>
      <c r="N377" s="14">
        <f t="shared" si="11"/>
        <v>1.71</v>
      </c>
      <c r="O377" s="9">
        <f t="shared" si="12"/>
        <v>539</v>
      </c>
      <c r="P377" s="9">
        <f t="shared" si="13"/>
        <v>69.76</v>
      </c>
    </row>
    <row r="378">
      <c r="A378" s="8">
        <v>377.0</v>
      </c>
      <c r="B378" s="8">
        <v>0.002</v>
      </c>
      <c r="C378" s="8">
        <v>0.143</v>
      </c>
      <c r="D378" s="9">
        <f t="shared" si="1"/>
        <v>50.46</v>
      </c>
      <c r="E378" s="9">
        <f t="shared" si="2"/>
        <v>1.23</v>
      </c>
      <c r="F378" s="10">
        <f t="shared" si="3"/>
        <v>1.966293229</v>
      </c>
      <c r="G378" s="11">
        <f t="shared" si="4"/>
        <v>66.25</v>
      </c>
      <c r="H378" s="10">
        <f t="shared" si="5"/>
        <v>115.263</v>
      </c>
      <c r="I378" s="10">
        <f t="shared" si="6"/>
        <v>11.67</v>
      </c>
      <c r="J378" s="12">
        <f t="shared" si="7"/>
        <v>17.615</v>
      </c>
      <c r="K378" s="13">
        <f t="shared" si="8"/>
        <v>0.909</v>
      </c>
      <c r="L378" s="10">
        <f t="shared" si="9"/>
        <v>0.154</v>
      </c>
      <c r="M378" s="10">
        <f t="shared" si="10"/>
        <v>0.01559546504</v>
      </c>
      <c r="N378" s="14">
        <f t="shared" si="11"/>
        <v>1.72</v>
      </c>
      <c r="O378" s="9">
        <f t="shared" si="12"/>
        <v>539</v>
      </c>
      <c r="P378" s="9">
        <f t="shared" si="13"/>
        <v>69.94</v>
      </c>
    </row>
    <row r="379">
      <c r="A379" s="8">
        <v>378.0</v>
      </c>
      <c r="B379" s="15">
        <v>0.037</v>
      </c>
      <c r="C379" s="8">
        <v>0.682</v>
      </c>
      <c r="D379" s="9">
        <f t="shared" si="1"/>
        <v>217.05</v>
      </c>
      <c r="E379" s="16">
        <f t="shared" si="2"/>
        <v>1</v>
      </c>
      <c r="F379" s="10">
        <f t="shared" si="3"/>
        <v>1.966276388</v>
      </c>
      <c r="G379" s="11">
        <f t="shared" si="4"/>
        <v>66.65</v>
      </c>
      <c r="H379" s="10">
        <f t="shared" si="5"/>
        <v>115.371</v>
      </c>
      <c r="I379" s="10">
        <f t="shared" si="6"/>
        <v>11.67</v>
      </c>
      <c r="J379" s="12">
        <f t="shared" si="7"/>
        <v>17.509</v>
      </c>
      <c r="K379" s="13">
        <f t="shared" si="8"/>
        <v>0.909</v>
      </c>
      <c r="L379" s="10">
        <f t="shared" si="9"/>
        <v>0.154</v>
      </c>
      <c r="M379" s="10">
        <f t="shared" si="10"/>
        <v>0.01557468906</v>
      </c>
      <c r="N379" s="14">
        <f t="shared" si="11"/>
        <v>1.71</v>
      </c>
      <c r="O379" s="9">
        <f t="shared" si="12"/>
        <v>539</v>
      </c>
      <c r="P379" s="9">
        <f t="shared" si="13"/>
        <v>70.13</v>
      </c>
    </row>
    <row r="380">
      <c r="A380" s="8">
        <v>379.0</v>
      </c>
      <c r="B380" s="15">
        <v>0.002</v>
      </c>
      <c r="C380" s="8">
        <v>0.159</v>
      </c>
      <c r="D380" s="9">
        <f t="shared" si="1"/>
        <v>50.46</v>
      </c>
      <c r="E380" s="16">
        <f t="shared" si="2"/>
        <v>0.99</v>
      </c>
      <c r="F380" s="10">
        <f t="shared" si="3"/>
        <v>1.966259636</v>
      </c>
      <c r="G380" s="11">
        <f t="shared" si="4"/>
        <v>66.61</v>
      </c>
      <c r="H380" s="10">
        <f t="shared" si="5"/>
        <v>115.221</v>
      </c>
      <c r="I380" s="10">
        <f t="shared" si="6"/>
        <v>11.64</v>
      </c>
      <c r="J380" s="12">
        <f t="shared" si="7"/>
        <v>17.475</v>
      </c>
      <c r="K380" s="13">
        <f t="shared" si="8"/>
        <v>0.909</v>
      </c>
      <c r="L380" s="10">
        <f t="shared" si="9"/>
        <v>0.154</v>
      </c>
      <c r="M380" s="10">
        <f t="shared" si="10"/>
        <v>0.01555399589</v>
      </c>
      <c r="N380" s="14">
        <f t="shared" si="11"/>
        <v>1.71</v>
      </c>
      <c r="O380" s="9">
        <f t="shared" si="12"/>
        <v>539</v>
      </c>
      <c r="P380" s="9">
        <f t="shared" si="13"/>
        <v>70.32</v>
      </c>
    </row>
    <row r="381">
      <c r="A381" s="8">
        <v>380.0</v>
      </c>
      <c r="B381" s="8">
        <v>0.012</v>
      </c>
      <c r="C381" s="8">
        <v>0.393</v>
      </c>
      <c r="D381" s="9">
        <f t="shared" si="1"/>
        <v>123.61</v>
      </c>
      <c r="E381" s="9">
        <f t="shared" si="2"/>
        <v>0.98</v>
      </c>
      <c r="F381" s="10">
        <f t="shared" si="3"/>
        <v>1.966242972</v>
      </c>
      <c r="G381" s="11">
        <f t="shared" si="4"/>
        <v>66.76</v>
      </c>
      <c r="H381" s="10">
        <f t="shared" si="5"/>
        <v>115.106</v>
      </c>
      <c r="I381" s="10">
        <f t="shared" si="6"/>
        <v>11.61</v>
      </c>
      <c r="J381" s="12">
        <f t="shared" si="7"/>
        <v>17.391</v>
      </c>
      <c r="K381" s="13">
        <f t="shared" si="8"/>
        <v>0.909</v>
      </c>
      <c r="L381" s="10">
        <f t="shared" si="9"/>
        <v>0.154</v>
      </c>
      <c r="M381" s="10">
        <f t="shared" si="10"/>
        <v>0.01553338498</v>
      </c>
      <c r="N381" s="14">
        <f t="shared" si="11"/>
        <v>1.71</v>
      </c>
      <c r="O381" s="9">
        <f t="shared" si="12"/>
        <v>539</v>
      </c>
      <c r="P381" s="9">
        <f t="shared" si="13"/>
        <v>70.5</v>
      </c>
    </row>
    <row r="382">
      <c r="A382" s="8">
        <v>381.0</v>
      </c>
      <c r="B382" s="15">
        <v>0.011</v>
      </c>
      <c r="C382" s="8">
        <v>0.381</v>
      </c>
      <c r="D382" s="9">
        <f t="shared" si="1"/>
        <v>118.35</v>
      </c>
      <c r="E382" s="16">
        <f t="shared" si="2"/>
        <v>0.95</v>
      </c>
      <c r="F382" s="10">
        <f t="shared" si="3"/>
        <v>1.966226397</v>
      </c>
      <c r="G382" s="11">
        <f t="shared" si="4"/>
        <v>66.89</v>
      </c>
      <c r="H382" s="10">
        <f t="shared" si="5"/>
        <v>114.985</v>
      </c>
      <c r="I382" s="10">
        <f t="shared" si="6"/>
        <v>11.58</v>
      </c>
      <c r="J382" s="12">
        <f t="shared" si="7"/>
        <v>17.312</v>
      </c>
      <c r="K382" s="13">
        <f t="shared" si="8"/>
        <v>0.909</v>
      </c>
      <c r="L382" s="10">
        <f t="shared" si="9"/>
        <v>0.153</v>
      </c>
      <c r="M382" s="10">
        <f t="shared" si="10"/>
        <v>0.01541212296</v>
      </c>
      <c r="N382" s="14">
        <f t="shared" si="11"/>
        <v>1.7</v>
      </c>
      <c r="O382" s="9">
        <f t="shared" si="12"/>
        <v>539</v>
      </c>
      <c r="P382" s="9">
        <f t="shared" si="13"/>
        <v>70.69</v>
      </c>
    </row>
    <row r="383">
      <c r="A383" s="8">
        <v>382.0</v>
      </c>
      <c r="B383" s="8">
        <v>0.012</v>
      </c>
      <c r="C383" s="8">
        <v>0.406</v>
      </c>
      <c r="D383" s="9">
        <f t="shared" si="1"/>
        <v>123.61</v>
      </c>
      <c r="E383" s="9">
        <f t="shared" si="2"/>
        <v>0.91</v>
      </c>
      <c r="F383" s="10">
        <f t="shared" si="3"/>
        <v>1.966209908</v>
      </c>
      <c r="G383" s="11">
        <f t="shared" si="4"/>
        <v>67.04</v>
      </c>
      <c r="H383" s="10">
        <f t="shared" si="5"/>
        <v>114.87</v>
      </c>
      <c r="I383" s="10">
        <f t="shared" si="6"/>
        <v>11.56</v>
      </c>
      <c r="J383" s="12">
        <f t="shared" si="7"/>
        <v>17.243</v>
      </c>
      <c r="K383" s="13">
        <f t="shared" si="8"/>
        <v>0.909</v>
      </c>
      <c r="L383" s="10">
        <f t="shared" si="9"/>
        <v>0.153</v>
      </c>
      <c r="M383" s="10">
        <f t="shared" si="10"/>
        <v>0.01539180773</v>
      </c>
      <c r="N383" s="14">
        <f t="shared" si="11"/>
        <v>1.69</v>
      </c>
      <c r="O383" s="9">
        <f t="shared" si="12"/>
        <v>539</v>
      </c>
      <c r="P383" s="9">
        <f t="shared" si="13"/>
        <v>70.87</v>
      </c>
    </row>
    <row r="384">
      <c r="A384" s="8">
        <v>383.0</v>
      </c>
      <c r="B384" s="8">
        <v>0.02</v>
      </c>
      <c r="C384" s="8">
        <v>0.603</v>
      </c>
      <c r="D384" s="9">
        <f t="shared" si="1"/>
        <v>159.58</v>
      </c>
      <c r="E384" s="9">
        <f t="shared" si="2"/>
        <v>0.69</v>
      </c>
      <c r="F384" s="10">
        <f t="shared" si="3"/>
        <v>1.966193507</v>
      </c>
      <c r="G384" s="11">
        <f t="shared" si="4"/>
        <v>67.28</v>
      </c>
      <c r="H384" s="10">
        <f t="shared" si="5"/>
        <v>114.817</v>
      </c>
      <c r="I384" s="10">
        <f t="shared" si="6"/>
        <v>11.54</v>
      </c>
      <c r="J384" s="12">
        <f t="shared" si="7"/>
        <v>17.152</v>
      </c>
      <c r="K384" s="13">
        <f t="shared" si="8"/>
        <v>0.909</v>
      </c>
      <c r="L384" s="10">
        <f t="shared" si="9"/>
        <v>0.153</v>
      </c>
      <c r="M384" s="10">
        <f t="shared" si="10"/>
        <v>0.01537157263</v>
      </c>
      <c r="N384" s="14">
        <f t="shared" si="11"/>
        <v>1.69</v>
      </c>
      <c r="O384" s="9">
        <f t="shared" si="12"/>
        <v>539</v>
      </c>
      <c r="P384" s="9">
        <f t="shared" si="13"/>
        <v>71.06</v>
      </c>
    </row>
    <row r="385">
      <c r="A385" s="8">
        <v>384.0</v>
      </c>
      <c r="B385" s="15">
        <v>0.063</v>
      </c>
      <c r="C385" s="8">
        <v>1.109</v>
      </c>
      <c r="D385" s="9">
        <f t="shared" si="1"/>
        <v>283.22</v>
      </c>
      <c r="E385" s="16">
        <f t="shared" si="2"/>
        <v>0.64</v>
      </c>
      <c r="F385" s="10">
        <f t="shared" si="3"/>
        <v>1.966177191</v>
      </c>
      <c r="G385" s="11">
        <f t="shared" si="4"/>
        <v>67.84</v>
      </c>
      <c r="H385" s="10">
        <f t="shared" si="5"/>
        <v>115.196</v>
      </c>
      <c r="I385" s="10">
        <f t="shared" si="6"/>
        <v>11.56</v>
      </c>
      <c r="J385" s="12">
        <f t="shared" si="7"/>
        <v>17.04</v>
      </c>
      <c r="K385" s="13">
        <f t="shared" si="8"/>
        <v>0.908</v>
      </c>
      <c r="L385" s="10">
        <f t="shared" si="9"/>
        <v>0.154</v>
      </c>
      <c r="M385" s="10">
        <f t="shared" si="10"/>
        <v>0.01545175318</v>
      </c>
      <c r="N385" s="14">
        <f t="shared" si="11"/>
        <v>1.7</v>
      </c>
      <c r="O385" s="9">
        <f t="shared" si="12"/>
        <v>539</v>
      </c>
      <c r="P385" s="9">
        <f t="shared" si="13"/>
        <v>71.24</v>
      </c>
    </row>
    <row r="386">
      <c r="A386" s="8">
        <v>385.0</v>
      </c>
      <c r="B386" s="15">
        <v>0.023</v>
      </c>
      <c r="C386" s="8">
        <v>0.7</v>
      </c>
      <c r="D386" s="9">
        <f t="shared" si="1"/>
        <v>171.13</v>
      </c>
      <c r="E386" s="16">
        <f t="shared" si="2"/>
        <v>0.59</v>
      </c>
      <c r="F386" s="10">
        <f t="shared" si="3"/>
        <v>1.966160961</v>
      </c>
      <c r="G386" s="11">
        <f t="shared" si="4"/>
        <v>68.11</v>
      </c>
      <c r="H386" s="10">
        <f t="shared" si="5"/>
        <v>115.166</v>
      </c>
      <c r="I386" s="10">
        <f t="shared" si="6"/>
        <v>11.54</v>
      </c>
      <c r="J386" s="12">
        <f t="shared" si="7"/>
        <v>16.943</v>
      </c>
      <c r="K386" s="13">
        <f t="shared" si="8"/>
        <v>0.907</v>
      </c>
      <c r="L386" s="10">
        <f t="shared" si="9"/>
        <v>0.154</v>
      </c>
      <c r="M386" s="10">
        <f t="shared" si="10"/>
        <v>0.01543154554</v>
      </c>
      <c r="N386" s="14">
        <f t="shared" si="11"/>
        <v>1.7</v>
      </c>
      <c r="O386" s="9">
        <f t="shared" si="12"/>
        <v>539</v>
      </c>
      <c r="P386" s="9">
        <f t="shared" si="13"/>
        <v>71.43</v>
      </c>
    </row>
    <row r="387">
      <c r="A387" s="8">
        <v>386.0</v>
      </c>
      <c r="B387" s="8">
        <v>0.005</v>
      </c>
      <c r="C387" s="8">
        <v>0.28</v>
      </c>
      <c r="D387" s="9">
        <f t="shared" si="1"/>
        <v>79.79</v>
      </c>
      <c r="E387" s="9">
        <f t="shared" si="2"/>
        <v>0.8</v>
      </c>
      <c r="F387" s="10">
        <f t="shared" si="3"/>
        <v>1.966144815</v>
      </c>
      <c r="G387" s="11">
        <f t="shared" si="4"/>
        <v>68.14</v>
      </c>
      <c r="H387" s="10">
        <f t="shared" si="5"/>
        <v>115.018</v>
      </c>
      <c r="I387" s="10">
        <f t="shared" si="6"/>
        <v>11.51</v>
      </c>
      <c r="J387" s="12">
        <f t="shared" si="7"/>
        <v>16.892</v>
      </c>
      <c r="K387" s="13">
        <f t="shared" si="8"/>
        <v>0.907</v>
      </c>
      <c r="L387" s="10">
        <f t="shared" si="9"/>
        <v>0.154</v>
      </c>
      <c r="M387" s="10">
        <f t="shared" si="10"/>
        <v>0.01541141697</v>
      </c>
      <c r="N387" s="14">
        <f t="shared" si="11"/>
        <v>1.7</v>
      </c>
      <c r="O387" s="9">
        <f t="shared" si="12"/>
        <v>539</v>
      </c>
      <c r="P387" s="9">
        <f t="shared" si="13"/>
        <v>71.61</v>
      </c>
    </row>
    <row r="388">
      <c r="A388" s="8">
        <v>387.0</v>
      </c>
      <c r="B388" s="8">
        <v>0.002</v>
      </c>
      <c r="C388" s="8">
        <v>0.15</v>
      </c>
      <c r="D388" s="9">
        <f t="shared" si="1"/>
        <v>50.46</v>
      </c>
      <c r="E388" s="9">
        <f t="shared" si="2"/>
        <v>1.12</v>
      </c>
      <c r="F388" s="10">
        <f t="shared" si="3"/>
        <v>1.966128753</v>
      </c>
      <c r="G388" s="11">
        <f t="shared" si="4"/>
        <v>68.1</v>
      </c>
      <c r="H388" s="10">
        <f t="shared" si="5"/>
        <v>114.872</v>
      </c>
      <c r="I388" s="10">
        <f t="shared" si="6"/>
        <v>11.48</v>
      </c>
      <c r="J388" s="12">
        <f t="shared" si="7"/>
        <v>16.858</v>
      </c>
      <c r="K388" s="13">
        <f t="shared" si="8"/>
        <v>0.908</v>
      </c>
      <c r="L388" s="10">
        <f t="shared" si="9"/>
        <v>0.155</v>
      </c>
      <c r="M388" s="10">
        <f t="shared" si="10"/>
        <v>0.0154913109</v>
      </c>
      <c r="N388" s="14">
        <f t="shared" si="11"/>
        <v>1.71</v>
      </c>
      <c r="O388" s="9">
        <f t="shared" si="12"/>
        <v>539</v>
      </c>
      <c r="P388" s="9">
        <f t="shared" si="13"/>
        <v>71.8</v>
      </c>
    </row>
    <row r="389">
      <c r="A389" s="8">
        <v>388.0</v>
      </c>
      <c r="B389" s="8">
        <v>0.003</v>
      </c>
      <c r="C389" s="8">
        <v>0.191</v>
      </c>
      <c r="D389" s="9">
        <f t="shared" si="1"/>
        <v>61.8</v>
      </c>
      <c r="E389" s="9">
        <f t="shared" si="2"/>
        <v>1.03</v>
      </c>
      <c r="F389" s="10">
        <f t="shared" si="3"/>
        <v>1.966112774</v>
      </c>
      <c r="G389" s="11">
        <f t="shared" si="4"/>
        <v>68.08</v>
      </c>
      <c r="H389" s="10">
        <f t="shared" si="5"/>
        <v>114.724</v>
      </c>
      <c r="I389" s="10">
        <f t="shared" si="6"/>
        <v>11.45</v>
      </c>
      <c r="J389" s="12">
        <f t="shared" si="7"/>
        <v>16.818</v>
      </c>
      <c r="K389" s="13">
        <f t="shared" si="8"/>
        <v>0.908</v>
      </c>
      <c r="L389" s="10">
        <f t="shared" si="9"/>
        <v>0.154</v>
      </c>
      <c r="M389" s="10">
        <f t="shared" si="10"/>
        <v>0.015371395</v>
      </c>
      <c r="N389" s="14">
        <f t="shared" si="11"/>
        <v>1.69</v>
      </c>
      <c r="O389" s="9">
        <f t="shared" si="12"/>
        <v>539</v>
      </c>
      <c r="P389" s="9">
        <f t="shared" si="13"/>
        <v>71.99</v>
      </c>
    </row>
    <row r="390">
      <c r="A390" s="8">
        <v>389.0</v>
      </c>
      <c r="B390" s="15">
        <v>0.564</v>
      </c>
      <c r="C390" s="8">
        <v>3.947</v>
      </c>
      <c r="D390" s="9">
        <f t="shared" si="1"/>
        <v>847.41</v>
      </c>
      <c r="E390" s="16">
        <f t="shared" si="2"/>
        <v>0.45</v>
      </c>
      <c r="F390" s="10">
        <f t="shared" si="3"/>
        <v>1.966096878</v>
      </c>
      <c r="G390" s="11">
        <f t="shared" si="4"/>
        <v>70.08</v>
      </c>
      <c r="H390" s="10">
        <f t="shared" si="5"/>
        <v>121.198</v>
      </c>
      <c r="I390" s="10">
        <f t="shared" si="6"/>
        <v>12.08</v>
      </c>
      <c r="J390" s="12">
        <f t="shared" si="7"/>
        <v>17.237</v>
      </c>
      <c r="K390" s="13">
        <f t="shared" si="8"/>
        <v>0.907</v>
      </c>
      <c r="L390" s="10">
        <f t="shared" si="9"/>
        <v>0.156</v>
      </c>
      <c r="M390" s="10">
        <f t="shared" si="10"/>
        <v>0.01555087073</v>
      </c>
      <c r="N390" s="14">
        <f t="shared" si="11"/>
        <v>1.71</v>
      </c>
      <c r="O390" s="9">
        <f t="shared" si="12"/>
        <v>539</v>
      </c>
      <c r="P390" s="9">
        <f t="shared" si="13"/>
        <v>72.17</v>
      </c>
    </row>
    <row r="391">
      <c r="A391" s="8">
        <v>390.0</v>
      </c>
      <c r="B391" s="8">
        <v>0.704</v>
      </c>
      <c r="C391" s="8">
        <v>3.544</v>
      </c>
      <c r="D391" s="9">
        <f t="shared" si="1"/>
        <v>946.76</v>
      </c>
      <c r="E391" s="9">
        <f t="shared" si="2"/>
        <v>0.7</v>
      </c>
      <c r="F391" s="10">
        <f t="shared" si="3"/>
        <v>1.966081064</v>
      </c>
      <c r="G391" s="11">
        <f t="shared" si="4"/>
        <v>72.33</v>
      </c>
      <c r="H391" s="10">
        <f t="shared" si="5"/>
        <v>128.926</v>
      </c>
      <c r="I391" s="10">
        <f t="shared" si="6"/>
        <v>12.84</v>
      </c>
      <c r="J391" s="12">
        <f t="shared" si="7"/>
        <v>17.752</v>
      </c>
      <c r="K391" s="13">
        <f t="shared" si="8"/>
        <v>0.906</v>
      </c>
      <c r="L391" s="10">
        <f t="shared" si="9"/>
        <v>0.156</v>
      </c>
      <c r="M391" s="10">
        <f t="shared" si="10"/>
        <v>0.015530796</v>
      </c>
      <c r="N391" s="14">
        <f t="shared" si="11"/>
        <v>1.71</v>
      </c>
      <c r="O391" s="9">
        <f t="shared" si="12"/>
        <v>539</v>
      </c>
      <c r="P391" s="9">
        <f t="shared" si="13"/>
        <v>72.36</v>
      </c>
    </row>
    <row r="392">
      <c r="A392" s="8">
        <v>391.0</v>
      </c>
      <c r="B392" s="15">
        <v>1.137</v>
      </c>
      <c r="C392" s="8">
        <v>5.714</v>
      </c>
      <c r="D392" s="9">
        <f t="shared" si="1"/>
        <v>1203.19</v>
      </c>
      <c r="E392" s="16">
        <f t="shared" si="2"/>
        <v>0.44</v>
      </c>
      <c r="F392" s="10">
        <f t="shared" si="3"/>
        <v>1.966065331</v>
      </c>
      <c r="G392" s="11">
        <f t="shared" si="4"/>
        <v>75.22</v>
      </c>
      <c r="H392" s="10">
        <f t="shared" si="5"/>
        <v>140.89</v>
      </c>
      <c r="I392" s="10">
        <f t="shared" si="6"/>
        <v>14.01</v>
      </c>
      <c r="J392" s="12">
        <f t="shared" si="7"/>
        <v>18.625</v>
      </c>
      <c r="K392" s="13">
        <f t="shared" si="8"/>
        <v>0.905</v>
      </c>
      <c r="L392" s="10">
        <f t="shared" si="9"/>
        <v>0.158</v>
      </c>
      <c r="M392" s="10">
        <f t="shared" si="10"/>
        <v>0.01570965521</v>
      </c>
      <c r="N392" s="14">
        <f t="shared" si="11"/>
        <v>1.74</v>
      </c>
      <c r="O392" s="9">
        <f t="shared" si="12"/>
        <v>539</v>
      </c>
      <c r="P392" s="9">
        <f t="shared" si="13"/>
        <v>72.54</v>
      </c>
    </row>
    <row r="393">
      <c r="A393" s="8">
        <v>392.0</v>
      </c>
      <c r="B393" s="8">
        <v>0.006</v>
      </c>
      <c r="C393" s="8">
        <v>0.365</v>
      </c>
      <c r="D393" s="9">
        <f t="shared" si="1"/>
        <v>87.4</v>
      </c>
      <c r="E393" s="9">
        <f t="shared" si="2"/>
        <v>0.57</v>
      </c>
      <c r="F393" s="10">
        <f t="shared" si="3"/>
        <v>1.966049679</v>
      </c>
      <c r="G393" s="11">
        <f t="shared" si="4"/>
        <v>75.25</v>
      </c>
      <c r="H393" s="10">
        <f t="shared" si="5"/>
        <v>140.711</v>
      </c>
      <c r="I393" s="10">
        <f t="shared" si="6"/>
        <v>13.97</v>
      </c>
      <c r="J393" s="12">
        <f t="shared" si="7"/>
        <v>18.565</v>
      </c>
      <c r="K393" s="13">
        <f t="shared" si="8"/>
        <v>0.904</v>
      </c>
      <c r="L393" s="10">
        <f t="shared" si="9"/>
        <v>0.158</v>
      </c>
      <c r="M393" s="10">
        <f t="shared" si="10"/>
        <v>0.01568947968</v>
      </c>
      <c r="N393" s="14">
        <f t="shared" si="11"/>
        <v>1.74</v>
      </c>
      <c r="O393" s="9">
        <f t="shared" si="12"/>
        <v>539</v>
      </c>
      <c r="P393" s="9">
        <f t="shared" si="13"/>
        <v>72.73</v>
      </c>
    </row>
    <row r="394">
      <c r="A394" s="8">
        <v>393.0</v>
      </c>
      <c r="B394" s="15">
        <v>0.803</v>
      </c>
      <c r="C394" s="8">
        <v>4.429</v>
      </c>
      <c r="D394" s="9">
        <f t="shared" si="1"/>
        <v>1011.14</v>
      </c>
      <c r="E394" s="16">
        <f t="shared" si="2"/>
        <v>0.51</v>
      </c>
      <c r="F394" s="10">
        <f t="shared" si="3"/>
        <v>1.966034107</v>
      </c>
      <c r="G394" s="11">
        <f t="shared" si="4"/>
        <v>77.64</v>
      </c>
      <c r="H394" s="10">
        <f t="shared" si="5"/>
        <v>148.249</v>
      </c>
      <c r="I394" s="10">
        <f t="shared" si="6"/>
        <v>14.7</v>
      </c>
      <c r="J394" s="12">
        <f t="shared" si="7"/>
        <v>18.934</v>
      </c>
      <c r="K394" s="13">
        <f t="shared" si="8"/>
        <v>0.903</v>
      </c>
      <c r="L394" s="10">
        <f t="shared" si="9"/>
        <v>0.159</v>
      </c>
      <c r="M394" s="10">
        <f t="shared" si="10"/>
        <v>0.01576855499</v>
      </c>
      <c r="N394" s="14">
        <f t="shared" si="11"/>
        <v>1.75</v>
      </c>
      <c r="O394" s="9">
        <f t="shared" si="12"/>
        <v>539</v>
      </c>
      <c r="P394" s="9">
        <f t="shared" si="13"/>
        <v>72.91</v>
      </c>
    </row>
    <row r="395">
      <c r="A395" s="8">
        <v>394.0</v>
      </c>
      <c r="B395" s="15">
        <v>0.001</v>
      </c>
      <c r="C395" s="8">
        <v>0.127</v>
      </c>
      <c r="D395" s="9">
        <f t="shared" si="1"/>
        <v>35.68</v>
      </c>
      <c r="E395" s="16">
        <f t="shared" si="2"/>
        <v>0.78</v>
      </c>
      <c r="F395" s="10">
        <f t="shared" si="3"/>
        <v>1.966018615</v>
      </c>
      <c r="G395" s="11">
        <f t="shared" si="4"/>
        <v>77.53</v>
      </c>
      <c r="H395" s="10">
        <f t="shared" si="5"/>
        <v>148.076</v>
      </c>
      <c r="I395" s="10">
        <f t="shared" si="6"/>
        <v>14.67</v>
      </c>
      <c r="J395" s="12">
        <f t="shared" si="7"/>
        <v>18.922</v>
      </c>
      <c r="K395" s="13">
        <f t="shared" si="8"/>
        <v>0.903</v>
      </c>
      <c r="L395" s="10">
        <f t="shared" si="9"/>
        <v>0.159</v>
      </c>
      <c r="M395" s="10">
        <f t="shared" si="10"/>
        <v>0.01574840732</v>
      </c>
      <c r="N395" s="14">
        <f t="shared" si="11"/>
        <v>1.74</v>
      </c>
      <c r="O395" s="9">
        <f t="shared" si="12"/>
        <v>539</v>
      </c>
      <c r="P395" s="9">
        <f t="shared" si="13"/>
        <v>73.1</v>
      </c>
    </row>
    <row r="396">
      <c r="A396" s="8">
        <v>395.0</v>
      </c>
      <c r="B396" s="8">
        <v>0.001</v>
      </c>
      <c r="C396" s="8">
        <v>0.127</v>
      </c>
      <c r="D396" s="9">
        <f t="shared" si="1"/>
        <v>35.68</v>
      </c>
      <c r="E396" s="9">
        <f t="shared" si="2"/>
        <v>0.78</v>
      </c>
      <c r="F396" s="10">
        <f t="shared" si="3"/>
        <v>1.966003201</v>
      </c>
      <c r="G396" s="11">
        <f t="shared" si="4"/>
        <v>77.42</v>
      </c>
      <c r="H396" s="10">
        <f t="shared" si="5"/>
        <v>147.903</v>
      </c>
      <c r="I396" s="10">
        <f t="shared" si="6"/>
        <v>14.63</v>
      </c>
      <c r="J396" s="12">
        <f t="shared" si="7"/>
        <v>18.897</v>
      </c>
      <c r="K396" s="13">
        <f t="shared" si="8"/>
        <v>0.903</v>
      </c>
      <c r="L396" s="10">
        <f t="shared" si="9"/>
        <v>0.159</v>
      </c>
      <c r="M396" s="10">
        <f t="shared" si="10"/>
        <v>0.01572833668</v>
      </c>
      <c r="N396" s="14">
        <f t="shared" si="11"/>
        <v>1.74</v>
      </c>
      <c r="O396" s="9">
        <f t="shared" si="12"/>
        <v>539</v>
      </c>
      <c r="P396" s="9">
        <f t="shared" si="13"/>
        <v>73.28</v>
      </c>
    </row>
    <row r="397">
      <c r="A397" s="8">
        <v>396.0</v>
      </c>
      <c r="B397" s="15">
        <v>7.129E-4</v>
      </c>
      <c r="C397" s="8">
        <v>0.095</v>
      </c>
      <c r="D397" s="9">
        <f t="shared" si="1"/>
        <v>30.13</v>
      </c>
      <c r="E397" s="16">
        <f t="shared" si="2"/>
        <v>0.99</v>
      </c>
      <c r="F397" s="10">
        <f t="shared" si="3"/>
        <v>1.965987866</v>
      </c>
      <c r="G397" s="11">
        <f t="shared" si="4"/>
        <v>77.3</v>
      </c>
      <c r="H397" s="10">
        <f t="shared" si="5"/>
        <v>147.734</v>
      </c>
      <c r="I397" s="10">
        <f t="shared" si="6"/>
        <v>14.6</v>
      </c>
      <c r="J397" s="12">
        <f t="shared" si="7"/>
        <v>18.887</v>
      </c>
      <c r="K397" s="13">
        <f t="shared" si="8"/>
        <v>0.903</v>
      </c>
      <c r="L397" s="10">
        <f t="shared" si="9"/>
        <v>0.159</v>
      </c>
      <c r="M397" s="10">
        <f t="shared" si="10"/>
        <v>0.01570834259</v>
      </c>
      <c r="N397" s="14">
        <f t="shared" si="11"/>
        <v>1.74</v>
      </c>
      <c r="O397" s="9">
        <f t="shared" si="12"/>
        <v>539</v>
      </c>
      <c r="P397" s="9">
        <f t="shared" si="13"/>
        <v>73.47</v>
      </c>
    </row>
    <row r="398">
      <c r="A398" s="8">
        <v>397.0</v>
      </c>
      <c r="B398" s="8">
        <v>0.002</v>
      </c>
      <c r="C398" s="8">
        <v>0.175</v>
      </c>
      <c r="D398" s="9">
        <f t="shared" si="1"/>
        <v>50.46</v>
      </c>
      <c r="E398" s="9">
        <f t="shared" si="2"/>
        <v>0.82</v>
      </c>
      <c r="F398" s="10">
        <f t="shared" si="3"/>
        <v>1.965972608</v>
      </c>
      <c r="G398" s="11">
        <f t="shared" si="4"/>
        <v>77.24</v>
      </c>
      <c r="H398" s="10">
        <f t="shared" si="5"/>
        <v>147.554</v>
      </c>
      <c r="I398" s="10">
        <f t="shared" si="6"/>
        <v>14.56</v>
      </c>
      <c r="J398" s="12">
        <f t="shared" si="7"/>
        <v>18.85</v>
      </c>
      <c r="K398" s="13">
        <f t="shared" si="8"/>
        <v>0.903</v>
      </c>
      <c r="L398" s="10">
        <f t="shared" si="9"/>
        <v>0.159</v>
      </c>
      <c r="M398" s="10">
        <f t="shared" si="10"/>
        <v>0.01568842455</v>
      </c>
      <c r="N398" s="14">
        <f t="shared" si="11"/>
        <v>1.74</v>
      </c>
      <c r="O398" s="9">
        <f t="shared" si="12"/>
        <v>539</v>
      </c>
      <c r="P398" s="9">
        <f t="shared" si="13"/>
        <v>73.65</v>
      </c>
    </row>
    <row r="399">
      <c r="A399" s="8">
        <v>398.0</v>
      </c>
      <c r="B399" s="15">
        <v>0.054</v>
      </c>
      <c r="C399" s="8">
        <v>1.308</v>
      </c>
      <c r="D399" s="9">
        <f t="shared" si="1"/>
        <v>262.21</v>
      </c>
      <c r="E399" s="16">
        <f t="shared" si="2"/>
        <v>0.4</v>
      </c>
      <c r="F399" s="10">
        <f t="shared" si="3"/>
        <v>1.965957428</v>
      </c>
      <c r="G399" s="11">
        <f t="shared" si="4"/>
        <v>77.7</v>
      </c>
      <c r="H399" s="10">
        <f t="shared" si="5"/>
        <v>147.659</v>
      </c>
      <c r="I399" s="10">
        <f t="shared" si="6"/>
        <v>14.55</v>
      </c>
      <c r="J399" s="12">
        <f t="shared" si="7"/>
        <v>18.726</v>
      </c>
      <c r="K399" s="13">
        <f t="shared" si="8"/>
        <v>0.901</v>
      </c>
      <c r="L399" s="10">
        <f t="shared" si="9"/>
        <v>0.161</v>
      </c>
      <c r="M399" s="10">
        <f t="shared" si="10"/>
        <v>0.01586567118</v>
      </c>
      <c r="N399" s="14">
        <f t="shared" si="11"/>
        <v>1.76</v>
      </c>
      <c r="O399" s="9">
        <f t="shared" si="12"/>
        <v>539</v>
      </c>
      <c r="P399" s="9">
        <f t="shared" si="13"/>
        <v>73.84</v>
      </c>
    </row>
    <row r="400">
      <c r="A400" s="8">
        <v>399.0</v>
      </c>
      <c r="B400" s="15">
        <v>0.017</v>
      </c>
      <c r="C400" s="8">
        <v>0.616</v>
      </c>
      <c r="D400" s="9">
        <f t="shared" si="1"/>
        <v>147.12</v>
      </c>
      <c r="E400" s="16">
        <f t="shared" si="2"/>
        <v>0.56</v>
      </c>
      <c r="F400" s="10">
        <f t="shared" si="3"/>
        <v>1.965942324</v>
      </c>
      <c r="G400" s="11">
        <f t="shared" si="4"/>
        <v>77.88</v>
      </c>
      <c r="H400" s="10">
        <f t="shared" si="5"/>
        <v>147.515</v>
      </c>
      <c r="I400" s="10">
        <f t="shared" si="6"/>
        <v>14.52</v>
      </c>
      <c r="J400" s="12">
        <f t="shared" si="7"/>
        <v>18.644</v>
      </c>
      <c r="K400" s="13">
        <f t="shared" si="8"/>
        <v>0.9</v>
      </c>
      <c r="L400" s="10">
        <f t="shared" si="9"/>
        <v>0.161</v>
      </c>
      <c r="M400" s="10">
        <f t="shared" si="10"/>
        <v>0.01584565517</v>
      </c>
      <c r="N400" s="14">
        <f t="shared" si="11"/>
        <v>1.76</v>
      </c>
      <c r="O400" s="9">
        <f t="shared" si="12"/>
        <v>539</v>
      </c>
      <c r="P400" s="9">
        <f t="shared" si="13"/>
        <v>74.03</v>
      </c>
    </row>
    <row r="401">
      <c r="A401" s="8">
        <v>400.0</v>
      </c>
      <c r="B401" s="15">
        <v>0.03</v>
      </c>
      <c r="C401" s="8">
        <v>0.648</v>
      </c>
      <c r="D401" s="9">
        <f t="shared" si="1"/>
        <v>195.44</v>
      </c>
      <c r="E401" s="16">
        <f t="shared" si="2"/>
        <v>0.9</v>
      </c>
      <c r="F401" s="10">
        <f t="shared" si="3"/>
        <v>1.965927296</v>
      </c>
      <c r="G401" s="11">
        <f t="shared" si="4"/>
        <v>78.17</v>
      </c>
      <c r="H401" s="10">
        <f t="shared" si="5"/>
        <v>147.447</v>
      </c>
      <c r="I401" s="10">
        <f t="shared" si="6"/>
        <v>14.49</v>
      </c>
      <c r="J401" s="12">
        <f t="shared" si="7"/>
        <v>18.537</v>
      </c>
      <c r="K401" s="13">
        <f t="shared" si="8"/>
        <v>0.9</v>
      </c>
      <c r="L401" s="10">
        <f t="shared" si="9"/>
        <v>0.161</v>
      </c>
      <c r="M401" s="10">
        <f t="shared" si="10"/>
        <v>0.01582571473</v>
      </c>
      <c r="N401" s="14">
        <f t="shared" si="11"/>
        <v>1.76</v>
      </c>
      <c r="O401" s="9">
        <f t="shared" si="12"/>
        <v>539</v>
      </c>
      <c r="P401" s="9">
        <f t="shared" si="13"/>
        <v>74.21</v>
      </c>
    </row>
    <row r="402">
      <c r="A402" s="8">
        <v>401.0</v>
      </c>
      <c r="B402" s="15">
        <v>2.101E-4</v>
      </c>
      <c r="C402" s="8">
        <v>0.056</v>
      </c>
      <c r="D402" s="9">
        <f t="shared" si="1"/>
        <v>16.36</v>
      </c>
      <c r="E402" s="16">
        <f t="shared" si="2"/>
        <v>0.84</v>
      </c>
      <c r="F402" s="10">
        <f t="shared" si="3"/>
        <v>1.965912343</v>
      </c>
      <c r="G402" s="11">
        <f t="shared" si="4"/>
        <v>78.01</v>
      </c>
      <c r="H402" s="10">
        <f t="shared" si="5"/>
        <v>147.295</v>
      </c>
      <c r="I402" s="10">
        <f t="shared" si="6"/>
        <v>14.46</v>
      </c>
      <c r="J402" s="12">
        <f t="shared" si="7"/>
        <v>18.536</v>
      </c>
      <c r="K402" s="13">
        <f t="shared" si="8"/>
        <v>0.9</v>
      </c>
      <c r="L402" s="10">
        <f t="shared" si="9"/>
        <v>0.161</v>
      </c>
      <c r="M402" s="10">
        <f t="shared" si="10"/>
        <v>0.01580584938</v>
      </c>
      <c r="N402" s="14">
        <f t="shared" si="11"/>
        <v>1.76</v>
      </c>
      <c r="O402" s="9">
        <f t="shared" si="12"/>
        <v>539</v>
      </c>
      <c r="P402" s="9">
        <f t="shared" si="13"/>
        <v>74.4</v>
      </c>
    </row>
    <row r="403">
      <c r="A403" s="8">
        <v>402.0</v>
      </c>
      <c r="B403" s="15">
        <v>0.003</v>
      </c>
      <c r="C403" s="8">
        <v>0.193</v>
      </c>
      <c r="D403" s="9">
        <f t="shared" si="1"/>
        <v>61.8</v>
      </c>
      <c r="E403" s="16">
        <f t="shared" si="2"/>
        <v>1.01</v>
      </c>
      <c r="F403" s="10">
        <f t="shared" si="3"/>
        <v>1.965897465</v>
      </c>
      <c r="G403" s="11">
        <f t="shared" si="4"/>
        <v>77.97</v>
      </c>
      <c r="H403" s="10">
        <f t="shared" si="5"/>
        <v>147.113</v>
      </c>
      <c r="I403" s="10">
        <f t="shared" si="6"/>
        <v>14.42</v>
      </c>
      <c r="J403" s="12">
        <f t="shared" si="7"/>
        <v>18.494</v>
      </c>
      <c r="K403" s="13">
        <f t="shared" si="8"/>
        <v>0.901</v>
      </c>
      <c r="L403" s="10">
        <f t="shared" si="9"/>
        <v>0.161</v>
      </c>
      <c r="M403" s="10">
        <f t="shared" si="10"/>
        <v>0.01578605866</v>
      </c>
      <c r="N403" s="14">
        <f t="shared" si="11"/>
        <v>1.75</v>
      </c>
      <c r="O403" s="9">
        <f t="shared" si="12"/>
        <v>539</v>
      </c>
      <c r="P403" s="9">
        <f t="shared" si="13"/>
        <v>74.58</v>
      </c>
    </row>
    <row r="404">
      <c r="A404" s="8">
        <v>403.0</v>
      </c>
      <c r="B404" s="15">
        <v>5.092E-5</v>
      </c>
      <c r="C404" s="8">
        <v>0.025</v>
      </c>
      <c r="D404" s="9">
        <f t="shared" si="1"/>
        <v>8.05</v>
      </c>
      <c r="E404" s="16">
        <f t="shared" si="2"/>
        <v>1.02</v>
      </c>
      <c r="F404" s="10">
        <f t="shared" si="3"/>
        <v>1.965882662</v>
      </c>
      <c r="G404" s="11">
        <f t="shared" si="4"/>
        <v>77.8</v>
      </c>
      <c r="H404" s="10">
        <f t="shared" si="5"/>
        <v>146.971</v>
      </c>
      <c r="I404" s="10">
        <f t="shared" si="6"/>
        <v>14.39</v>
      </c>
      <c r="J404" s="12">
        <f t="shared" si="7"/>
        <v>18.496</v>
      </c>
      <c r="K404" s="13">
        <f t="shared" si="8"/>
        <v>0.901</v>
      </c>
      <c r="L404" s="10">
        <f t="shared" si="9"/>
        <v>0.161</v>
      </c>
      <c r="M404" s="10">
        <f t="shared" si="10"/>
        <v>0.01576634209</v>
      </c>
      <c r="N404" s="14">
        <f t="shared" si="11"/>
        <v>1.75</v>
      </c>
      <c r="O404" s="9">
        <f t="shared" si="12"/>
        <v>539</v>
      </c>
      <c r="P404" s="9">
        <f t="shared" si="13"/>
        <v>74.77</v>
      </c>
    </row>
    <row r="405">
      <c r="A405" s="8">
        <v>404.0</v>
      </c>
      <c r="B405" s="15">
        <v>3.183E-4</v>
      </c>
      <c r="C405" s="8">
        <v>0.062</v>
      </c>
      <c r="D405" s="9">
        <f t="shared" si="1"/>
        <v>20.13</v>
      </c>
      <c r="E405" s="16">
        <f t="shared" si="2"/>
        <v>1.04</v>
      </c>
      <c r="F405" s="10">
        <f t="shared" si="3"/>
        <v>1.965867932</v>
      </c>
      <c r="G405" s="11">
        <f t="shared" si="4"/>
        <v>77.66</v>
      </c>
      <c r="H405" s="10">
        <f t="shared" si="5"/>
        <v>146.817</v>
      </c>
      <c r="I405" s="10">
        <f t="shared" si="6"/>
        <v>14.36</v>
      </c>
      <c r="J405" s="12">
        <f t="shared" si="7"/>
        <v>18.491</v>
      </c>
      <c r="K405" s="13">
        <f t="shared" si="8"/>
        <v>0.901</v>
      </c>
      <c r="L405" s="10">
        <f t="shared" si="9"/>
        <v>0.161</v>
      </c>
      <c r="M405" s="10">
        <f t="shared" si="10"/>
        <v>0.01574669921</v>
      </c>
      <c r="N405" s="14">
        <f t="shared" si="11"/>
        <v>1.75</v>
      </c>
      <c r="O405" s="9">
        <f t="shared" si="12"/>
        <v>539</v>
      </c>
      <c r="P405" s="9">
        <f t="shared" si="13"/>
        <v>74.95</v>
      </c>
    </row>
    <row r="406">
      <c r="A406" s="8">
        <v>405.0</v>
      </c>
      <c r="B406" s="15">
        <v>0.015</v>
      </c>
      <c r="C406" s="8">
        <v>0.45</v>
      </c>
      <c r="D406" s="9">
        <f t="shared" si="1"/>
        <v>138.2</v>
      </c>
      <c r="E406" s="16">
        <f t="shared" si="2"/>
        <v>0.93</v>
      </c>
      <c r="F406" s="10">
        <f t="shared" si="3"/>
        <v>1.965853275</v>
      </c>
      <c r="G406" s="11">
        <f t="shared" si="4"/>
        <v>77.81</v>
      </c>
      <c r="H406" s="10">
        <f t="shared" si="5"/>
        <v>146.666</v>
      </c>
      <c r="I406" s="10">
        <f t="shared" si="6"/>
        <v>14.33</v>
      </c>
      <c r="J406" s="12">
        <f t="shared" si="7"/>
        <v>18.417</v>
      </c>
      <c r="K406" s="13">
        <f t="shared" si="8"/>
        <v>0.901</v>
      </c>
      <c r="L406" s="10">
        <f t="shared" si="9"/>
        <v>0.161</v>
      </c>
      <c r="M406" s="10">
        <f t="shared" si="10"/>
        <v>0.01572712957</v>
      </c>
      <c r="N406" s="14">
        <f t="shared" si="11"/>
        <v>1.75</v>
      </c>
      <c r="O406" s="9">
        <f t="shared" si="12"/>
        <v>539</v>
      </c>
      <c r="P406" s="9">
        <f t="shared" si="13"/>
        <v>75.14</v>
      </c>
    </row>
    <row r="407">
      <c r="A407" s="8">
        <v>406.0</v>
      </c>
      <c r="B407" s="15">
        <v>0.013</v>
      </c>
      <c r="C407" s="8">
        <v>0.419</v>
      </c>
      <c r="D407" s="9">
        <f t="shared" si="1"/>
        <v>128.66</v>
      </c>
      <c r="E407" s="16">
        <f t="shared" si="2"/>
        <v>0.93</v>
      </c>
      <c r="F407" s="10">
        <f t="shared" si="3"/>
        <v>1.965838691</v>
      </c>
      <c r="G407" s="11">
        <f t="shared" si="4"/>
        <v>77.93</v>
      </c>
      <c r="H407" s="10">
        <f t="shared" si="5"/>
        <v>146.507</v>
      </c>
      <c r="I407" s="10">
        <f t="shared" si="6"/>
        <v>14.29</v>
      </c>
      <c r="J407" s="12">
        <f t="shared" si="7"/>
        <v>18.337</v>
      </c>
      <c r="K407" s="13">
        <f t="shared" si="8"/>
        <v>0.901</v>
      </c>
      <c r="L407" s="10">
        <f t="shared" si="9"/>
        <v>0.16</v>
      </c>
      <c r="M407" s="10">
        <f t="shared" si="10"/>
        <v>0.01561006977</v>
      </c>
      <c r="N407" s="14">
        <f t="shared" si="11"/>
        <v>1.73</v>
      </c>
      <c r="O407" s="9">
        <f t="shared" si="12"/>
        <v>539</v>
      </c>
      <c r="P407" s="9">
        <f t="shared" si="13"/>
        <v>75.32</v>
      </c>
    </row>
    <row r="408">
      <c r="A408" s="8">
        <v>407.0</v>
      </c>
      <c r="B408" s="15">
        <v>0.035</v>
      </c>
      <c r="C408" s="8">
        <v>0.835</v>
      </c>
      <c r="D408" s="9">
        <f t="shared" si="1"/>
        <v>211.1</v>
      </c>
      <c r="E408" s="16">
        <f t="shared" si="2"/>
        <v>0.63</v>
      </c>
      <c r="F408" s="10">
        <f t="shared" si="3"/>
        <v>1.965824178</v>
      </c>
      <c r="G408" s="11">
        <f t="shared" si="4"/>
        <v>78.26</v>
      </c>
      <c r="H408" s="10">
        <f t="shared" si="5"/>
        <v>146.475</v>
      </c>
      <c r="I408" s="10">
        <f t="shared" si="6"/>
        <v>14.27</v>
      </c>
      <c r="J408" s="12">
        <f t="shared" si="7"/>
        <v>18.234</v>
      </c>
      <c r="K408" s="13">
        <f t="shared" si="8"/>
        <v>0.901</v>
      </c>
      <c r="L408" s="10">
        <f t="shared" si="9"/>
        <v>0.161</v>
      </c>
      <c r="M408" s="10">
        <f t="shared" si="10"/>
        <v>0.01568820818</v>
      </c>
      <c r="N408" s="14">
        <f t="shared" si="11"/>
        <v>1.74</v>
      </c>
      <c r="O408" s="9">
        <f t="shared" si="12"/>
        <v>539</v>
      </c>
      <c r="P408" s="9">
        <f t="shared" si="13"/>
        <v>75.51</v>
      </c>
    </row>
    <row r="409">
      <c r="A409" s="8">
        <v>408.0</v>
      </c>
      <c r="B409" s="15">
        <v>0.009</v>
      </c>
      <c r="C409" s="8">
        <v>0.461</v>
      </c>
      <c r="D409" s="9">
        <f t="shared" si="1"/>
        <v>107.05</v>
      </c>
      <c r="E409" s="16">
        <f t="shared" si="2"/>
        <v>0.53</v>
      </c>
      <c r="F409" s="10">
        <f t="shared" si="3"/>
        <v>1.965809738</v>
      </c>
      <c r="G409" s="11">
        <f t="shared" si="4"/>
        <v>78.33</v>
      </c>
      <c r="H409" s="10">
        <f t="shared" si="5"/>
        <v>146.302</v>
      </c>
      <c r="I409" s="10">
        <f t="shared" si="6"/>
        <v>14.24</v>
      </c>
      <c r="J409" s="12">
        <f t="shared" si="7"/>
        <v>18.179</v>
      </c>
      <c r="K409" s="13">
        <f t="shared" si="8"/>
        <v>0.9</v>
      </c>
      <c r="L409" s="10">
        <f t="shared" si="9"/>
        <v>0.162</v>
      </c>
      <c r="M409" s="10">
        <f t="shared" si="10"/>
        <v>0.01576617762</v>
      </c>
      <c r="N409" s="14">
        <f t="shared" si="11"/>
        <v>1.75</v>
      </c>
      <c r="O409" s="9">
        <f t="shared" si="12"/>
        <v>539</v>
      </c>
      <c r="P409" s="9">
        <f t="shared" si="13"/>
        <v>75.7</v>
      </c>
    </row>
    <row r="410">
      <c r="A410" s="8">
        <v>409.0</v>
      </c>
      <c r="B410" s="15">
        <v>0.029</v>
      </c>
      <c r="C410" s="8">
        <v>0.635</v>
      </c>
      <c r="D410" s="9">
        <f t="shared" si="1"/>
        <v>192.16</v>
      </c>
      <c r="E410" s="16">
        <f t="shared" si="2"/>
        <v>0.9</v>
      </c>
      <c r="F410" s="10">
        <f t="shared" si="3"/>
        <v>1.965795368</v>
      </c>
      <c r="G410" s="11">
        <f t="shared" si="4"/>
        <v>78.61</v>
      </c>
      <c r="H410" s="10">
        <f t="shared" si="5"/>
        <v>146.231</v>
      </c>
      <c r="I410" s="10">
        <f t="shared" si="6"/>
        <v>14.21</v>
      </c>
      <c r="J410" s="12">
        <f t="shared" si="7"/>
        <v>18.077</v>
      </c>
      <c r="K410" s="13">
        <f t="shared" si="8"/>
        <v>0.9</v>
      </c>
      <c r="L410" s="10">
        <f t="shared" si="9"/>
        <v>0.161</v>
      </c>
      <c r="M410" s="10">
        <f t="shared" si="10"/>
        <v>0.01564957434</v>
      </c>
      <c r="N410" s="14">
        <f t="shared" si="11"/>
        <v>1.74</v>
      </c>
      <c r="O410" s="9">
        <f t="shared" si="12"/>
        <v>539</v>
      </c>
      <c r="P410" s="9">
        <f t="shared" si="13"/>
        <v>75.88</v>
      </c>
    </row>
    <row r="411">
      <c r="A411" s="8">
        <v>410.0</v>
      </c>
      <c r="B411" s="15">
        <v>7.766E-4</v>
      </c>
      <c r="C411" s="8">
        <v>0.1</v>
      </c>
      <c r="D411" s="9">
        <f t="shared" si="1"/>
        <v>31.45</v>
      </c>
      <c r="E411" s="16">
        <f t="shared" si="2"/>
        <v>0.98</v>
      </c>
      <c r="F411" s="10">
        <f t="shared" si="3"/>
        <v>1.965781069</v>
      </c>
      <c r="G411" s="11">
        <f t="shared" si="4"/>
        <v>78.49</v>
      </c>
      <c r="H411" s="10">
        <f t="shared" si="5"/>
        <v>146.07</v>
      </c>
      <c r="I411" s="10">
        <f t="shared" si="6"/>
        <v>14.18</v>
      </c>
      <c r="J411" s="12">
        <f t="shared" si="7"/>
        <v>18.066</v>
      </c>
      <c r="K411" s="13">
        <f t="shared" si="8"/>
        <v>0.9</v>
      </c>
      <c r="L411" s="10">
        <f t="shared" si="9"/>
        <v>0.161</v>
      </c>
      <c r="M411" s="10">
        <f t="shared" si="10"/>
        <v>0.01563036415</v>
      </c>
      <c r="N411" s="14">
        <f t="shared" si="11"/>
        <v>1.74</v>
      </c>
      <c r="O411" s="9">
        <f t="shared" si="12"/>
        <v>539</v>
      </c>
      <c r="P411" s="9">
        <f t="shared" si="13"/>
        <v>76.07</v>
      </c>
    </row>
    <row r="412">
      <c r="A412" s="8">
        <v>411.0</v>
      </c>
      <c r="B412" s="15">
        <v>0.004</v>
      </c>
      <c r="C412" s="8">
        <v>0.271</v>
      </c>
      <c r="D412" s="9">
        <f t="shared" si="1"/>
        <v>71.36</v>
      </c>
      <c r="E412" s="16">
        <f t="shared" si="2"/>
        <v>0.68</v>
      </c>
      <c r="F412" s="10">
        <f t="shared" si="3"/>
        <v>1.96576684</v>
      </c>
      <c r="G412" s="11">
        <f t="shared" si="4"/>
        <v>78.48</v>
      </c>
      <c r="H412" s="10">
        <f t="shared" si="5"/>
        <v>145.893</v>
      </c>
      <c r="I412" s="10">
        <f t="shared" si="6"/>
        <v>14.15</v>
      </c>
      <c r="J412" s="12">
        <f t="shared" si="7"/>
        <v>18.03</v>
      </c>
      <c r="K412" s="13">
        <f t="shared" si="8"/>
        <v>0.899</v>
      </c>
      <c r="L412" s="10">
        <f t="shared" si="9"/>
        <v>0.162</v>
      </c>
      <c r="M412" s="10">
        <f t="shared" si="10"/>
        <v>0.01570818865</v>
      </c>
      <c r="N412" s="14">
        <f t="shared" si="11"/>
        <v>1.75</v>
      </c>
      <c r="O412" s="9">
        <f t="shared" si="12"/>
        <v>539</v>
      </c>
      <c r="P412" s="9">
        <f t="shared" si="13"/>
        <v>76.25</v>
      </c>
    </row>
    <row r="413">
      <c r="A413" s="8">
        <v>412.0</v>
      </c>
      <c r="B413" s="15">
        <v>5.538E-4</v>
      </c>
      <c r="C413" s="8">
        <v>0.085</v>
      </c>
      <c r="D413" s="9">
        <f t="shared" si="1"/>
        <v>26.55</v>
      </c>
      <c r="E413" s="16">
        <f t="shared" si="2"/>
        <v>0.96</v>
      </c>
      <c r="F413" s="10">
        <f t="shared" si="3"/>
        <v>1.96575268</v>
      </c>
      <c r="G413" s="11">
        <f t="shared" si="4"/>
        <v>78.35</v>
      </c>
      <c r="H413" s="10">
        <f t="shared" si="5"/>
        <v>145.737</v>
      </c>
      <c r="I413" s="10">
        <f t="shared" si="6"/>
        <v>14.11</v>
      </c>
      <c r="J413" s="12">
        <f t="shared" si="7"/>
        <v>18.009</v>
      </c>
      <c r="K413" s="13">
        <f t="shared" si="8"/>
        <v>0.9</v>
      </c>
      <c r="L413" s="10">
        <f t="shared" si="9"/>
        <v>0.161</v>
      </c>
      <c r="M413" s="10">
        <f t="shared" si="10"/>
        <v>0.01559215504</v>
      </c>
      <c r="N413" s="14">
        <f t="shared" si="11"/>
        <v>1.73</v>
      </c>
      <c r="O413" s="9">
        <f t="shared" si="12"/>
        <v>539</v>
      </c>
      <c r="P413" s="9">
        <f t="shared" si="13"/>
        <v>76.44</v>
      </c>
    </row>
    <row r="414">
      <c r="A414" s="8">
        <v>413.0</v>
      </c>
      <c r="B414" s="15">
        <v>0.003</v>
      </c>
      <c r="C414" s="8">
        <v>0.208</v>
      </c>
      <c r="D414" s="9">
        <f t="shared" si="1"/>
        <v>61.8</v>
      </c>
      <c r="E414" s="16">
        <f t="shared" si="2"/>
        <v>0.87</v>
      </c>
      <c r="F414" s="10">
        <f t="shared" si="3"/>
        <v>1.965738589</v>
      </c>
      <c r="G414" s="11">
        <f t="shared" si="4"/>
        <v>78.31</v>
      </c>
      <c r="H414" s="10">
        <f t="shared" si="5"/>
        <v>145.563</v>
      </c>
      <c r="I414" s="10">
        <f t="shared" si="6"/>
        <v>14.08</v>
      </c>
      <c r="J414" s="12">
        <f t="shared" si="7"/>
        <v>17.98</v>
      </c>
      <c r="K414" s="13">
        <f t="shared" si="8"/>
        <v>0.899</v>
      </c>
      <c r="L414" s="10">
        <f t="shared" si="9"/>
        <v>0.161</v>
      </c>
      <c r="M414" s="10">
        <f t="shared" si="10"/>
        <v>0.01557315526</v>
      </c>
      <c r="N414" s="14">
        <f t="shared" si="11"/>
        <v>1.73</v>
      </c>
      <c r="O414" s="9">
        <f t="shared" si="12"/>
        <v>539</v>
      </c>
      <c r="P414" s="9">
        <f t="shared" si="13"/>
        <v>76.62</v>
      </c>
    </row>
    <row r="415">
      <c r="A415" s="8">
        <v>414.0</v>
      </c>
      <c r="B415" s="15">
        <v>0.028</v>
      </c>
      <c r="C415" s="8">
        <v>0.757</v>
      </c>
      <c r="D415" s="9">
        <f t="shared" si="1"/>
        <v>188.81</v>
      </c>
      <c r="E415" s="16">
        <f t="shared" si="2"/>
        <v>0.61</v>
      </c>
      <c r="F415" s="10">
        <f t="shared" si="3"/>
        <v>1.965724567</v>
      </c>
      <c r="G415" s="11">
        <f t="shared" si="4"/>
        <v>78.58</v>
      </c>
      <c r="H415" s="10">
        <f t="shared" si="5"/>
        <v>145.488</v>
      </c>
      <c r="I415" s="10">
        <f t="shared" si="6"/>
        <v>14.06</v>
      </c>
      <c r="J415" s="12">
        <f t="shared" si="7"/>
        <v>17.893</v>
      </c>
      <c r="K415" s="13">
        <f t="shared" si="8"/>
        <v>0.899</v>
      </c>
      <c r="L415" s="10">
        <f t="shared" si="9"/>
        <v>0.162</v>
      </c>
      <c r="M415" s="10">
        <f t="shared" si="10"/>
        <v>0.01565083487</v>
      </c>
      <c r="N415" s="14">
        <f t="shared" si="11"/>
        <v>1.74</v>
      </c>
      <c r="O415" s="9">
        <f t="shared" si="12"/>
        <v>539</v>
      </c>
      <c r="P415" s="9">
        <f t="shared" si="13"/>
        <v>76.81</v>
      </c>
    </row>
    <row r="416">
      <c r="A416" s="8">
        <v>415.0</v>
      </c>
      <c r="B416" s="15">
        <v>0.04</v>
      </c>
      <c r="C416" s="8">
        <v>0.747</v>
      </c>
      <c r="D416" s="9">
        <f t="shared" si="1"/>
        <v>225.68</v>
      </c>
      <c r="E416" s="16">
        <f t="shared" si="2"/>
        <v>0.9</v>
      </c>
      <c r="F416" s="10">
        <f t="shared" si="3"/>
        <v>1.965710612</v>
      </c>
      <c r="G416" s="11">
        <f t="shared" si="4"/>
        <v>78.93</v>
      </c>
      <c r="H416" s="10">
        <f t="shared" si="5"/>
        <v>145.491</v>
      </c>
      <c r="I416" s="10">
        <f t="shared" si="6"/>
        <v>14.04</v>
      </c>
      <c r="J416" s="12">
        <f t="shared" si="7"/>
        <v>17.788</v>
      </c>
      <c r="K416" s="13">
        <f t="shared" si="8"/>
        <v>0.899</v>
      </c>
      <c r="L416" s="10">
        <f t="shared" si="9"/>
        <v>0.161</v>
      </c>
      <c r="M416" s="10">
        <f t="shared" si="10"/>
        <v>0.01553536316</v>
      </c>
      <c r="N416" s="14">
        <f t="shared" si="11"/>
        <v>1.73</v>
      </c>
      <c r="O416" s="9">
        <f t="shared" si="12"/>
        <v>539</v>
      </c>
      <c r="P416" s="9">
        <f t="shared" si="13"/>
        <v>76.99</v>
      </c>
    </row>
    <row r="417">
      <c r="A417" s="8">
        <v>416.0</v>
      </c>
      <c r="B417" s="15">
        <v>0.002</v>
      </c>
      <c r="C417" s="8">
        <v>0.167</v>
      </c>
      <c r="D417" s="9">
        <f t="shared" si="1"/>
        <v>50.46</v>
      </c>
      <c r="E417" s="16">
        <f t="shared" si="2"/>
        <v>0.9</v>
      </c>
      <c r="F417" s="10">
        <f t="shared" si="3"/>
        <v>1.965696725</v>
      </c>
      <c r="G417" s="11">
        <f t="shared" si="4"/>
        <v>78.86</v>
      </c>
      <c r="H417" s="10">
        <f t="shared" si="5"/>
        <v>145.323</v>
      </c>
      <c r="I417" s="10">
        <f t="shared" si="6"/>
        <v>14.01</v>
      </c>
      <c r="J417" s="12">
        <f t="shared" si="7"/>
        <v>17.766</v>
      </c>
      <c r="K417" s="13">
        <f t="shared" si="8"/>
        <v>0.899</v>
      </c>
      <c r="L417" s="10">
        <f t="shared" si="9"/>
        <v>0.161</v>
      </c>
      <c r="M417" s="10">
        <f t="shared" si="10"/>
        <v>0.01551656999</v>
      </c>
      <c r="N417" s="14">
        <f t="shared" si="11"/>
        <v>1.73</v>
      </c>
      <c r="O417" s="9">
        <f t="shared" si="12"/>
        <v>539</v>
      </c>
      <c r="P417" s="9">
        <f t="shared" si="13"/>
        <v>77.18</v>
      </c>
    </row>
    <row r="418">
      <c r="A418" s="8">
        <v>417.0</v>
      </c>
      <c r="B418" s="15">
        <v>0.009</v>
      </c>
      <c r="C418" s="8">
        <v>0.392</v>
      </c>
      <c r="D418" s="9">
        <f t="shared" si="1"/>
        <v>107.05</v>
      </c>
      <c r="E418" s="16">
        <f t="shared" si="2"/>
        <v>0.74</v>
      </c>
      <c r="F418" s="10">
        <f t="shared" si="3"/>
        <v>1.965682905</v>
      </c>
      <c r="G418" s="11">
        <f t="shared" si="4"/>
        <v>78.93</v>
      </c>
      <c r="H418" s="10">
        <f t="shared" si="5"/>
        <v>145.154</v>
      </c>
      <c r="I418" s="10">
        <f t="shared" si="6"/>
        <v>13.97</v>
      </c>
      <c r="J418" s="12">
        <f t="shared" si="7"/>
        <v>17.699</v>
      </c>
      <c r="K418" s="13">
        <f t="shared" si="8"/>
        <v>0.898</v>
      </c>
      <c r="L418" s="10">
        <f t="shared" si="9"/>
        <v>0.161</v>
      </c>
      <c r="M418" s="10">
        <f t="shared" si="10"/>
        <v>0.01549784487</v>
      </c>
      <c r="N418" s="14">
        <f t="shared" si="11"/>
        <v>1.73</v>
      </c>
      <c r="O418" s="9">
        <f t="shared" si="12"/>
        <v>539</v>
      </c>
      <c r="P418" s="9">
        <f t="shared" si="13"/>
        <v>77.37</v>
      </c>
    </row>
    <row r="419">
      <c r="A419" s="8">
        <v>418.0</v>
      </c>
      <c r="B419" s="15">
        <v>0.007</v>
      </c>
      <c r="C419" s="8">
        <v>0.362</v>
      </c>
      <c r="D419" s="9">
        <f t="shared" si="1"/>
        <v>94.41</v>
      </c>
      <c r="E419" s="16">
        <f t="shared" si="2"/>
        <v>0.67</v>
      </c>
      <c r="F419" s="10">
        <f t="shared" si="3"/>
        <v>1.965669151</v>
      </c>
      <c r="G419" s="11">
        <f t="shared" si="4"/>
        <v>78.97</v>
      </c>
      <c r="H419" s="10">
        <f t="shared" si="5"/>
        <v>144.982</v>
      </c>
      <c r="I419" s="10">
        <f t="shared" si="6"/>
        <v>13.94</v>
      </c>
      <c r="J419" s="12">
        <f t="shared" si="7"/>
        <v>17.652</v>
      </c>
      <c r="K419" s="13">
        <f t="shared" si="8"/>
        <v>0.898</v>
      </c>
      <c r="L419" s="10">
        <f t="shared" si="9"/>
        <v>0.161</v>
      </c>
      <c r="M419" s="10">
        <f t="shared" si="10"/>
        <v>0.01547918737</v>
      </c>
      <c r="N419" s="14">
        <f t="shared" si="11"/>
        <v>1.72</v>
      </c>
      <c r="O419" s="9">
        <f t="shared" si="12"/>
        <v>539</v>
      </c>
      <c r="P419" s="9">
        <f t="shared" si="13"/>
        <v>77.55</v>
      </c>
    </row>
    <row r="420">
      <c r="A420" s="8">
        <v>419.0</v>
      </c>
      <c r="B420" s="15">
        <v>0.007</v>
      </c>
      <c r="C420" s="8">
        <v>0.297</v>
      </c>
      <c r="D420" s="9">
        <f t="shared" si="1"/>
        <v>94.41</v>
      </c>
      <c r="E420" s="16">
        <f t="shared" si="2"/>
        <v>1</v>
      </c>
      <c r="F420" s="10">
        <f t="shared" si="3"/>
        <v>1.965655464</v>
      </c>
      <c r="G420" s="11">
        <f t="shared" si="4"/>
        <v>79.01</v>
      </c>
      <c r="H420" s="10">
        <f t="shared" si="5"/>
        <v>144.811</v>
      </c>
      <c r="I420" s="10">
        <f t="shared" si="6"/>
        <v>13.91</v>
      </c>
      <c r="J420" s="12">
        <f t="shared" si="7"/>
        <v>17.605</v>
      </c>
      <c r="K420" s="13">
        <f t="shared" si="8"/>
        <v>0.898</v>
      </c>
      <c r="L420" s="10">
        <f t="shared" si="9"/>
        <v>0.161</v>
      </c>
      <c r="M420" s="10">
        <f t="shared" si="10"/>
        <v>0.01546059709</v>
      </c>
      <c r="N420" s="14">
        <f t="shared" si="11"/>
        <v>1.72</v>
      </c>
      <c r="O420" s="9">
        <f t="shared" si="12"/>
        <v>539</v>
      </c>
      <c r="P420" s="9">
        <f t="shared" si="13"/>
        <v>77.74</v>
      </c>
    </row>
    <row r="421">
      <c r="A421" s="8">
        <v>420.0</v>
      </c>
      <c r="B421" s="15">
        <v>0.006</v>
      </c>
      <c r="C421" s="8">
        <v>0.287</v>
      </c>
      <c r="D421" s="9">
        <f t="shared" si="1"/>
        <v>87.4</v>
      </c>
      <c r="E421" s="16">
        <f t="shared" si="2"/>
        <v>0.92</v>
      </c>
      <c r="F421" s="10">
        <f t="shared" si="3"/>
        <v>1.965641842</v>
      </c>
      <c r="G421" s="11">
        <f t="shared" si="4"/>
        <v>79.03</v>
      </c>
      <c r="H421" s="10">
        <f t="shared" si="5"/>
        <v>144.638</v>
      </c>
      <c r="I421" s="10">
        <f t="shared" si="6"/>
        <v>13.87</v>
      </c>
      <c r="J421" s="12">
        <f t="shared" si="7"/>
        <v>17.55</v>
      </c>
      <c r="K421" s="13">
        <f t="shared" si="8"/>
        <v>0.898</v>
      </c>
      <c r="L421" s="10">
        <f t="shared" si="9"/>
        <v>0.161</v>
      </c>
      <c r="M421" s="10">
        <f t="shared" si="10"/>
        <v>0.01544207363</v>
      </c>
      <c r="N421" s="14">
        <f t="shared" si="11"/>
        <v>1.72</v>
      </c>
      <c r="O421" s="9">
        <f t="shared" si="12"/>
        <v>539</v>
      </c>
      <c r="P421" s="9">
        <f t="shared" si="13"/>
        <v>77.92</v>
      </c>
    </row>
    <row r="422">
      <c r="A422" s="8">
        <v>421.0</v>
      </c>
      <c r="B422" s="15">
        <v>7.957E-4</v>
      </c>
      <c r="C422" s="8">
        <v>0.103</v>
      </c>
      <c r="D422" s="9">
        <f t="shared" si="1"/>
        <v>31.83</v>
      </c>
      <c r="E422" s="16">
        <f t="shared" si="2"/>
        <v>0.94</v>
      </c>
      <c r="F422" s="10">
        <f t="shared" si="3"/>
        <v>1.965628284</v>
      </c>
      <c r="G422" s="11">
        <f t="shared" si="4"/>
        <v>78.91</v>
      </c>
      <c r="H422" s="10">
        <f t="shared" si="5"/>
        <v>144.484</v>
      </c>
      <c r="I422" s="10">
        <f t="shared" si="6"/>
        <v>13.84</v>
      </c>
      <c r="J422" s="12">
        <f t="shared" si="7"/>
        <v>17.539</v>
      </c>
      <c r="K422" s="13">
        <f t="shared" si="8"/>
        <v>0.898</v>
      </c>
      <c r="L422" s="10">
        <f t="shared" si="9"/>
        <v>0.161</v>
      </c>
      <c r="M422" s="10">
        <f t="shared" si="10"/>
        <v>0.0154236166</v>
      </c>
      <c r="N422" s="14">
        <f t="shared" si="11"/>
        <v>1.72</v>
      </c>
      <c r="O422" s="9">
        <f t="shared" si="12"/>
        <v>539</v>
      </c>
      <c r="P422" s="9">
        <f t="shared" si="13"/>
        <v>78.11</v>
      </c>
    </row>
    <row r="423">
      <c r="A423" s="8">
        <v>422.0</v>
      </c>
      <c r="B423" s="15">
        <v>0.01</v>
      </c>
      <c r="C423" s="8">
        <v>0.366</v>
      </c>
      <c r="D423" s="9">
        <f t="shared" si="1"/>
        <v>112.84</v>
      </c>
      <c r="E423" s="16">
        <f t="shared" si="2"/>
        <v>0.94</v>
      </c>
      <c r="F423" s="10">
        <f t="shared" si="3"/>
        <v>1.965614792</v>
      </c>
      <c r="G423" s="11">
        <f t="shared" si="4"/>
        <v>78.99</v>
      </c>
      <c r="H423" s="10">
        <f t="shared" si="5"/>
        <v>144.322</v>
      </c>
      <c r="I423" s="10">
        <f t="shared" si="6"/>
        <v>13.81</v>
      </c>
      <c r="J423" s="12">
        <f t="shared" si="7"/>
        <v>17.483</v>
      </c>
      <c r="K423" s="13">
        <f t="shared" si="8"/>
        <v>0.898</v>
      </c>
      <c r="L423" s="10">
        <f t="shared" si="9"/>
        <v>0.161</v>
      </c>
      <c r="M423" s="10">
        <f t="shared" si="10"/>
        <v>0.01540522559</v>
      </c>
      <c r="N423" s="14">
        <f t="shared" si="11"/>
        <v>1.72</v>
      </c>
      <c r="O423" s="9">
        <f t="shared" si="12"/>
        <v>539</v>
      </c>
      <c r="P423" s="9">
        <f t="shared" si="13"/>
        <v>78.29</v>
      </c>
    </row>
    <row r="424">
      <c r="A424" s="8">
        <v>423.0</v>
      </c>
      <c r="B424" s="15">
        <v>0.01</v>
      </c>
      <c r="C424" s="8">
        <v>0.372</v>
      </c>
      <c r="D424" s="9">
        <f t="shared" si="1"/>
        <v>112.84</v>
      </c>
      <c r="E424" s="16">
        <f t="shared" si="2"/>
        <v>0.91</v>
      </c>
      <c r="F424" s="10">
        <f t="shared" si="3"/>
        <v>1.965601364</v>
      </c>
      <c r="G424" s="11">
        <f t="shared" si="4"/>
        <v>79.07</v>
      </c>
      <c r="H424" s="10">
        <f t="shared" si="5"/>
        <v>144.16</v>
      </c>
      <c r="I424" s="10">
        <f t="shared" si="6"/>
        <v>13.78</v>
      </c>
      <c r="J424" s="12">
        <f t="shared" si="7"/>
        <v>17.428</v>
      </c>
      <c r="K424" s="13">
        <f t="shared" si="8"/>
        <v>0.898</v>
      </c>
      <c r="L424" s="10">
        <f t="shared" si="9"/>
        <v>0.161</v>
      </c>
      <c r="M424" s="10">
        <f t="shared" si="10"/>
        <v>0.01538690021</v>
      </c>
      <c r="N424" s="14">
        <f t="shared" si="11"/>
        <v>1.71</v>
      </c>
      <c r="O424" s="9">
        <f t="shared" si="12"/>
        <v>539</v>
      </c>
      <c r="P424" s="9">
        <f t="shared" si="13"/>
        <v>78.48</v>
      </c>
    </row>
    <row r="425">
      <c r="A425" s="8">
        <v>424.0</v>
      </c>
      <c r="B425" s="15">
        <v>0.002</v>
      </c>
      <c r="C425" s="8">
        <v>0.159</v>
      </c>
      <c r="D425" s="9">
        <f t="shared" si="1"/>
        <v>50.46</v>
      </c>
      <c r="E425" s="16">
        <f t="shared" si="2"/>
        <v>0.99</v>
      </c>
      <c r="F425" s="10">
        <f t="shared" si="3"/>
        <v>1.965587999</v>
      </c>
      <c r="G425" s="11">
        <f t="shared" si="4"/>
        <v>79.01</v>
      </c>
      <c r="H425" s="10">
        <f t="shared" si="5"/>
        <v>143.997</v>
      </c>
      <c r="I425" s="10">
        <f t="shared" si="6"/>
        <v>13.75</v>
      </c>
      <c r="J425" s="12">
        <f t="shared" si="7"/>
        <v>17.403</v>
      </c>
      <c r="K425" s="13">
        <f t="shared" si="8"/>
        <v>0.899</v>
      </c>
      <c r="L425" s="10">
        <f t="shared" si="9"/>
        <v>0.16</v>
      </c>
      <c r="M425" s="10">
        <f t="shared" si="10"/>
        <v>0.01527318268</v>
      </c>
      <c r="N425" s="14">
        <f t="shared" si="11"/>
        <v>1.7</v>
      </c>
      <c r="O425" s="9">
        <f t="shared" si="12"/>
        <v>539</v>
      </c>
      <c r="P425" s="9">
        <f t="shared" si="13"/>
        <v>78.66</v>
      </c>
    </row>
    <row r="426">
      <c r="A426" s="8">
        <v>425.0</v>
      </c>
      <c r="B426" s="15">
        <v>0.008</v>
      </c>
      <c r="C426" s="8">
        <v>0.337</v>
      </c>
      <c r="D426" s="9">
        <f t="shared" si="1"/>
        <v>100.93</v>
      </c>
      <c r="E426" s="16">
        <f t="shared" si="2"/>
        <v>0.89</v>
      </c>
      <c r="F426" s="10">
        <f t="shared" si="3"/>
        <v>1.965574698</v>
      </c>
      <c r="G426" s="11">
        <f t="shared" si="4"/>
        <v>79.06</v>
      </c>
      <c r="H426" s="10">
        <f t="shared" si="5"/>
        <v>143.831</v>
      </c>
      <c r="I426" s="10">
        <f t="shared" si="6"/>
        <v>13.71</v>
      </c>
      <c r="J426" s="12">
        <f t="shared" si="7"/>
        <v>17.341</v>
      </c>
      <c r="K426" s="13">
        <f t="shared" si="8"/>
        <v>0.899</v>
      </c>
      <c r="L426" s="10">
        <f t="shared" si="9"/>
        <v>0.16</v>
      </c>
      <c r="M426" s="10">
        <f t="shared" si="10"/>
        <v>0.01525510041</v>
      </c>
      <c r="N426" s="14">
        <f t="shared" si="11"/>
        <v>1.7</v>
      </c>
      <c r="O426" s="9">
        <f t="shared" si="12"/>
        <v>539</v>
      </c>
      <c r="P426" s="9">
        <f t="shared" si="13"/>
        <v>78.85</v>
      </c>
    </row>
    <row r="427">
      <c r="A427" s="8">
        <v>426.0</v>
      </c>
      <c r="B427" s="15">
        <v>0.011</v>
      </c>
      <c r="C427" s="8">
        <v>0.385</v>
      </c>
      <c r="D427" s="9">
        <f t="shared" si="1"/>
        <v>118.35</v>
      </c>
      <c r="E427" s="16">
        <f t="shared" si="2"/>
        <v>0.93</v>
      </c>
      <c r="F427" s="10">
        <f t="shared" si="3"/>
        <v>1.965561459</v>
      </c>
      <c r="G427" s="11">
        <f t="shared" si="4"/>
        <v>79.15</v>
      </c>
      <c r="H427" s="10">
        <f t="shared" si="5"/>
        <v>143.674</v>
      </c>
      <c r="I427" s="10">
        <f t="shared" si="6"/>
        <v>13.68</v>
      </c>
      <c r="J427" s="12">
        <f t="shared" si="7"/>
        <v>17.284</v>
      </c>
      <c r="K427" s="13">
        <f t="shared" si="8"/>
        <v>0.899</v>
      </c>
      <c r="L427" s="10">
        <f t="shared" si="9"/>
        <v>0.16</v>
      </c>
      <c r="M427" s="10">
        <f t="shared" si="10"/>
        <v>0.01523708222</v>
      </c>
      <c r="N427" s="14">
        <f t="shared" si="11"/>
        <v>1.69</v>
      </c>
      <c r="O427" s="9">
        <f t="shared" si="12"/>
        <v>539</v>
      </c>
      <c r="P427" s="9">
        <f t="shared" si="13"/>
        <v>79.04</v>
      </c>
    </row>
    <row r="428">
      <c r="A428" s="8">
        <v>427.0</v>
      </c>
      <c r="B428" s="15">
        <v>0.031</v>
      </c>
      <c r="C428" s="8">
        <v>0.651</v>
      </c>
      <c r="D428" s="9">
        <f t="shared" si="1"/>
        <v>198.67</v>
      </c>
      <c r="E428" s="16">
        <f t="shared" si="2"/>
        <v>0.92</v>
      </c>
      <c r="F428" s="10">
        <f t="shared" si="3"/>
        <v>1.965548282</v>
      </c>
      <c r="G428" s="11">
        <f t="shared" si="4"/>
        <v>79.43</v>
      </c>
      <c r="H428" s="10">
        <f t="shared" si="5"/>
        <v>143.622</v>
      </c>
      <c r="I428" s="10">
        <f t="shared" si="6"/>
        <v>13.66</v>
      </c>
      <c r="J428" s="12">
        <f t="shared" si="7"/>
        <v>17.198</v>
      </c>
      <c r="K428" s="13">
        <f t="shared" si="8"/>
        <v>0.899</v>
      </c>
      <c r="L428" s="10">
        <f t="shared" si="9"/>
        <v>0.16</v>
      </c>
      <c r="M428" s="10">
        <f t="shared" si="10"/>
        <v>0.01521912772</v>
      </c>
      <c r="N428" s="14">
        <f t="shared" si="11"/>
        <v>1.69</v>
      </c>
      <c r="O428" s="9">
        <f t="shared" si="12"/>
        <v>539</v>
      </c>
      <c r="P428" s="9">
        <f t="shared" si="13"/>
        <v>79.22</v>
      </c>
    </row>
    <row r="429">
      <c r="A429" s="8">
        <v>428.0</v>
      </c>
      <c r="B429" s="15">
        <v>9.23E-4</v>
      </c>
      <c r="C429" s="8">
        <v>0.111</v>
      </c>
      <c r="D429" s="9">
        <f t="shared" si="1"/>
        <v>34.28</v>
      </c>
      <c r="E429" s="16">
        <f t="shared" si="2"/>
        <v>0.94</v>
      </c>
      <c r="F429" s="10">
        <f t="shared" si="3"/>
        <v>1.965535168</v>
      </c>
      <c r="G429" s="11">
        <f t="shared" si="4"/>
        <v>79.32</v>
      </c>
      <c r="H429" s="10">
        <f t="shared" si="5"/>
        <v>143.47</v>
      </c>
      <c r="I429" s="10">
        <f t="shared" si="6"/>
        <v>13.63</v>
      </c>
      <c r="J429" s="12">
        <f t="shared" si="7"/>
        <v>17.184</v>
      </c>
      <c r="K429" s="13">
        <f t="shared" si="8"/>
        <v>0.899</v>
      </c>
      <c r="L429" s="10">
        <f t="shared" si="9"/>
        <v>0.16</v>
      </c>
      <c r="M429" s="10">
        <f t="shared" si="10"/>
        <v>0.01520123654</v>
      </c>
      <c r="N429" s="14">
        <f t="shared" si="11"/>
        <v>1.69</v>
      </c>
      <c r="O429" s="9">
        <f t="shared" si="12"/>
        <v>539</v>
      </c>
      <c r="P429" s="9">
        <f t="shared" si="13"/>
        <v>79.41</v>
      </c>
    </row>
    <row r="430">
      <c r="A430" s="8">
        <v>429.0</v>
      </c>
      <c r="B430" s="15">
        <v>0.012</v>
      </c>
      <c r="C430" s="8">
        <v>0.407</v>
      </c>
      <c r="D430" s="9">
        <f t="shared" si="1"/>
        <v>123.61</v>
      </c>
      <c r="E430" s="16">
        <f t="shared" si="2"/>
        <v>0.91</v>
      </c>
      <c r="F430" s="10">
        <f t="shared" si="3"/>
        <v>1.965522115</v>
      </c>
      <c r="G430" s="11">
        <f t="shared" si="4"/>
        <v>79.43</v>
      </c>
      <c r="H430" s="10">
        <f t="shared" si="5"/>
        <v>143.318</v>
      </c>
      <c r="I430" s="10">
        <f t="shared" si="6"/>
        <v>13.6</v>
      </c>
      <c r="J430" s="12">
        <f t="shared" si="7"/>
        <v>17.122</v>
      </c>
      <c r="K430" s="13">
        <f t="shared" si="8"/>
        <v>0.899</v>
      </c>
      <c r="L430" s="10">
        <f t="shared" si="9"/>
        <v>0.159</v>
      </c>
      <c r="M430" s="10">
        <f t="shared" si="10"/>
        <v>0.01508851201</v>
      </c>
      <c r="N430" s="14">
        <f t="shared" si="11"/>
        <v>1.68</v>
      </c>
      <c r="O430" s="9">
        <f t="shared" si="12"/>
        <v>539</v>
      </c>
      <c r="P430" s="9">
        <f t="shared" si="13"/>
        <v>79.59</v>
      </c>
    </row>
    <row r="431">
      <c r="A431" s="8">
        <v>430.0</v>
      </c>
      <c r="B431" s="15">
        <v>8.657E-4</v>
      </c>
      <c r="C431" s="8">
        <v>0.106</v>
      </c>
      <c r="D431" s="9">
        <f t="shared" si="1"/>
        <v>33.2</v>
      </c>
      <c r="E431" s="16">
        <f t="shared" si="2"/>
        <v>0.97</v>
      </c>
      <c r="F431" s="10">
        <f t="shared" si="3"/>
        <v>1.965509123</v>
      </c>
      <c r="G431" s="11">
        <f t="shared" si="4"/>
        <v>79.32</v>
      </c>
      <c r="H431" s="10">
        <f t="shared" si="5"/>
        <v>143.169</v>
      </c>
      <c r="I431" s="10">
        <f t="shared" si="6"/>
        <v>13.57</v>
      </c>
      <c r="J431" s="12">
        <f t="shared" si="7"/>
        <v>17.108</v>
      </c>
      <c r="K431" s="13">
        <f t="shared" si="8"/>
        <v>0.899</v>
      </c>
      <c r="L431" s="10">
        <f t="shared" si="9"/>
        <v>0.159</v>
      </c>
      <c r="M431" s="10">
        <f t="shared" si="10"/>
        <v>0.0150708574</v>
      </c>
      <c r="N431" s="14">
        <f t="shared" si="11"/>
        <v>1.68</v>
      </c>
      <c r="O431" s="9">
        <f t="shared" si="12"/>
        <v>539</v>
      </c>
      <c r="P431" s="9">
        <f t="shared" si="13"/>
        <v>79.78</v>
      </c>
    </row>
    <row r="432">
      <c r="A432" s="8">
        <v>431.0</v>
      </c>
      <c r="B432" s="15">
        <v>3.692E-4</v>
      </c>
      <c r="C432" s="8">
        <v>0.067</v>
      </c>
      <c r="D432" s="9">
        <f t="shared" si="1"/>
        <v>21.68</v>
      </c>
      <c r="E432" s="16">
        <f t="shared" si="2"/>
        <v>1.03</v>
      </c>
      <c r="F432" s="10">
        <f t="shared" si="3"/>
        <v>1.965496192</v>
      </c>
      <c r="G432" s="11">
        <f t="shared" si="4"/>
        <v>79.19</v>
      </c>
      <c r="H432" s="10">
        <f t="shared" si="5"/>
        <v>143.029</v>
      </c>
      <c r="I432" s="10">
        <f t="shared" si="6"/>
        <v>13.54</v>
      </c>
      <c r="J432" s="12">
        <f t="shared" si="7"/>
        <v>17.098</v>
      </c>
      <c r="K432" s="13">
        <f t="shared" si="8"/>
        <v>0.899</v>
      </c>
      <c r="L432" s="10">
        <f t="shared" si="9"/>
        <v>0.159</v>
      </c>
      <c r="M432" s="10">
        <f t="shared" si="10"/>
        <v>0.01505326461</v>
      </c>
      <c r="N432" s="14">
        <f t="shared" si="11"/>
        <v>1.67</v>
      </c>
      <c r="O432" s="9">
        <f t="shared" si="12"/>
        <v>539</v>
      </c>
      <c r="P432" s="9">
        <f t="shared" si="13"/>
        <v>79.96</v>
      </c>
    </row>
    <row r="433">
      <c r="A433" s="8">
        <v>432.0</v>
      </c>
      <c r="B433" s="15">
        <v>4.711E-4</v>
      </c>
      <c r="C433" s="8">
        <v>0.078</v>
      </c>
      <c r="D433" s="9">
        <f t="shared" si="1"/>
        <v>24.49</v>
      </c>
      <c r="E433" s="16">
        <f t="shared" si="2"/>
        <v>0.97</v>
      </c>
      <c r="F433" s="10">
        <f t="shared" si="3"/>
        <v>1.96548332</v>
      </c>
      <c r="G433" s="11">
        <f t="shared" si="4"/>
        <v>79.06</v>
      </c>
      <c r="H433" s="10">
        <f t="shared" si="5"/>
        <v>142.887</v>
      </c>
      <c r="I433" s="10">
        <f t="shared" si="6"/>
        <v>13.51</v>
      </c>
      <c r="J433" s="12">
        <f t="shared" si="7"/>
        <v>17.088</v>
      </c>
      <c r="K433" s="13">
        <f t="shared" si="8"/>
        <v>0.899</v>
      </c>
      <c r="L433" s="10">
        <f t="shared" si="9"/>
        <v>0.159</v>
      </c>
      <c r="M433" s="10">
        <f t="shared" si="10"/>
        <v>0.01503573329</v>
      </c>
      <c r="N433" s="14">
        <f t="shared" si="11"/>
        <v>1.67</v>
      </c>
      <c r="O433" s="9">
        <f t="shared" si="12"/>
        <v>539</v>
      </c>
      <c r="P433" s="9">
        <f t="shared" si="13"/>
        <v>80.15</v>
      </c>
    </row>
    <row r="434">
      <c r="A434" s="8">
        <v>433.0</v>
      </c>
      <c r="B434" s="15">
        <v>0.006</v>
      </c>
      <c r="C434" s="8">
        <v>0.283</v>
      </c>
      <c r="D434" s="9">
        <f t="shared" si="1"/>
        <v>87.4</v>
      </c>
      <c r="E434" s="16">
        <f t="shared" si="2"/>
        <v>0.94</v>
      </c>
      <c r="F434" s="10">
        <f t="shared" si="3"/>
        <v>1.965470509</v>
      </c>
      <c r="G434" s="11">
        <f t="shared" si="4"/>
        <v>79.08</v>
      </c>
      <c r="H434" s="10">
        <f t="shared" si="5"/>
        <v>142.722</v>
      </c>
      <c r="I434" s="10">
        <f t="shared" si="6"/>
        <v>13.48</v>
      </c>
      <c r="J434" s="12">
        <f t="shared" si="7"/>
        <v>17.046</v>
      </c>
      <c r="K434" s="13">
        <f t="shared" si="8"/>
        <v>0.9</v>
      </c>
      <c r="L434" s="10">
        <f t="shared" si="9"/>
        <v>0.159</v>
      </c>
      <c r="M434" s="10">
        <f t="shared" si="10"/>
        <v>0.01501826309</v>
      </c>
      <c r="N434" s="14">
        <f t="shared" si="11"/>
        <v>1.67</v>
      </c>
      <c r="O434" s="9">
        <f t="shared" si="12"/>
        <v>539</v>
      </c>
      <c r="P434" s="9">
        <f t="shared" si="13"/>
        <v>80.33</v>
      </c>
    </row>
    <row r="435">
      <c r="A435" s="8">
        <v>434.0</v>
      </c>
      <c r="B435" s="15">
        <v>0.012</v>
      </c>
      <c r="C435" s="8">
        <v>0.401</v>
      </c>
      <c r="D435" s="9">
        <f t="shared" si="1"/>
        <v>123.61</v>
      </c>
      <c r="E435" s="16">
        <f t="shared" si="2"/>
        <v>0.94</v>
      </c>
      <c r="F435" s="10">
        <f t="shared" si="3"/>
        <v>1.965457757</v>
      </c>
      <c r="G435" s="11">
        <f t="shared" si="4"/>
        <v>79.18</v>
      </c>
      <c r="H435" s="10">
        <f t="shared" si="5"/>
        <v>142.573</v>
      </c>
      <c r="I435" s="10">
        <f t="shared" si="6"/>
        <v>13.45</v>
      </c>
      <c r="J435" s="12">
        <f t="shared" si="7"/>
        <v>16.987</v>
      </c>
      <c r="K435" s="13">
        <f t="shared" si="8"/>
        <v>0.9</v>
      </c>
      <c r="L435" s="10">
        <f t="shared" si="9"/>
        <v>0.159</v>
      </c>
      <c r="M435" s="10">
        <f t="shared" si="10"/>
        <v>0.01500085363</v>
      </c>
      <c r="N435" s="14">
        <f t="shared" si="11"/>
        <v>1.67</v>
      </c>
      <c r="O435" s="9">
        <f t="shared" si="12"/>
        <v>539</v>
      </c>
      <c r="P435" s="9">
        <f t="shared" si="13"/>
        <v>80.52</v>
      </c>
    </row>
    <row r="436">
      <c r="A436" s="8">
        <v>435.0</v>
      </c>
      <c r="B436" s="15">
        <v>0.007</v>
      </c>
      <c r="C436" s="8">
        <v>0.308</v>
      </c>
      <c r="D436" s="9">
        <f t="shared" si="1"/>
        <v>94.41</v>
      </c>
      <c r="E436" s="16">
        <f t="shared" si="2"/>
        <v>0.93</v>
      </c>
      <c r="F436" s="10">
        <f t="shared" si="3"/>
        <v>1.965445064</v>
      </c>
      <c r="G436" s="11">
        <f t="shared" si="4"/>
        <v>79.22</v>
      </c>
      <c r="H436" s="10">
        <f t="shared" si="5"/>
        <v>142.411</v>
      </c>
      <c r="I436" s="10">
        <f t="shared" si="6"/>
        <v>13.42</v>
      </c>
      <c r="J436" s="12">
        <f t="shared" si="7"/>
        <v>16.94</v>
      </c>
      <c r="K436" s="13">
        <f t="shared" si="8"/>
        <v>0.9</v>
      </c>
      <c r="L436" s="10">
        <f t="shared" si="9"/>
        <v>0.159</v>
      </c>
      <c r="M436" s="10">
        <f t="shared" si="10"/>
        <v>0.01498350459</v>
      </c>
      <c r="N436" s="14">
        <f t="shared" si="11"/>
        <v>1.66</v>
      </c>
      <c r="O436" s="9">
        <f t="shared" si="12"/>
        <v>539</v>
      </c>
      <c r="P436" s="9">
        <f t="shared" si="13"/>
        <v>80.71</v>
      </c>
    </row>
    <row r="437">
      <c r="A437" s="8">
        <v>436.0</v>
      </c>
      <c r="B437" s="15">
        <v>0.01</v>
      </c>
      <c r="C437" s="8">
        <v>0.371</v>
      </c>
      <c r="D437" s="9">
        <f t="shared" si="1"/>
        <v>112.84</v>
      </c>
      <c r="E437" s="16">
        <f t="shared" si="2"/>
        <v>0.91</v>
      </c>
      <c r="F437" s="10">
        <f t="shared" si="3"/>
        <v>1.965432429</v>
      </c>
      <c r="G437" s="11">
        <f t="shared" si="4"/>
        <v>79.29</v>
      </c>
      <c r="H437" s="10">
        <f t="shared" si="5"/>
        <v>142.256</v>
      </c>
      <c r="I437" s="10">
        <f t="shared" si="6"/>
        <v>13.39</v>
      </c>
      <c r="J437" s="12">
        <f t="shared" si="7"/>
        <v>16.887</v>
      </c>
      <c r="K437" s="13">
        <f t="shared" si="8"/>
        <v>0.9</v>
      </c>
      <c r="L437" s="10">
        <f t="shared" si="9"/>
        <v>0.158</v>
      </c>
      <c r="M437" s="10">
        <f t="shared" si="10"/>
        <v>0.01487208845</v>
      </c>
      <c r="N437" s="14">
        <f t="shared" si="11"/>
        <v>1.65</v>
      </c>
      <c r="O437" s="9">
        <f t="shared" si="12"/>
        <v>539</v>
      </c>
      <c r="P437" s="9">
        <f t="shared" si="13"/>
        <v>80.89</v>
      </c>
    </row>
    <row r="438">
      <c r="A438" s="8">
        <v>437.0</v>
      </c>
      <c r="B438" s="15">
        <v>4.902E-4</v>
      </c>
      <c r="C438" s="8">
        <v>0.079</v>
      </c>
      <c r="D438" s="9">
        <f t="shared" si="1"/>
        <v>24.98</v>
      </c>
      <c r="E438" s="16">
        <f t="shared" si="2"/>
        <v>0.99</v>
      </c>
      <c r="F438" s="10">
        <f t="shared" si="3"/>
        <v>1.965419852</v>
      </c>
      <c r="G438" s="11">
        <f t="shared" si="4"/>
        <v>79.17</v>
      </c>
      <c r="H438" s="10">
        <f t="shared" si="5"/>
        <v>142.117</v>
      </c>
      <c r="I438" s="10">
        <f t="shared" si="6"/>
        <v>13.36</v>
      </c>
      <c r="J438" s="12">
        <f t="shared" si="7"/>
        <v>16.875</v>
      </c>
      <c r="K438" s="13">
        <f t="shared" si="8"/>
        <v>0.9</v>
      </c>
      <c r="L438" s="10">
        <f t="shared" si="9"/>
        <v>0.158</v>
      </c>
      <c r="M438" s="10">
        <f t="shared" si="10"/>
        <v>0.01485496753</v>
      </c>
      <c r="N438" s="14">
        <f t="shared" si="11"/>
        <v>1.65</v>
      </c>
      <c r="O438" s="9">
        <f t="shared" si="12"/>
        <v>539</v>
      </c>
      <c r="P438" s="9">
        <f t="shared" si="13"/>
        <v>81.08</v>
      </c>
    </row>
    <row r="439">
      <c r="A439" s="8">
        <v>438.0</v>
      </c>
      <c r="B439" s="15">
        <v>0.009</v>
      </c>
      <c r="C439" s="8">
        <v>0.355</v>
      </c>
      <c r="D439" s="9">
        <f t="shared" si="1"/>
        <v>107.05</v>
      </c>
      <c r="E439" s="16">
        <f t="shared" si="2"/>
        <v>0.9</v>
      </c>
      <c r="F439" s="10">
        <f t="shared" si="3"/>
        <v>1.965407333</v>
      </c>
      <c r="G439" s="11">
        <f t="shared" si="4"/>
        <v>79.23</v>
      </c>
      <c r="H439" s="10">
        <f t="shared" si="5"/>
        <v>141.96</v>
      </c>
      <c r="I439" s="10">
        <f t="shared" si="6"/>
        <v>13.33</v>
      </c>
      <c r="J439" s="12">
        <f t="shared" si="7"/>
        <v>16.824</v>
      </c>
      <c r="K439" s="13">
        <f t="shared" si="8"/>
        <v>0.9</v>
      </c>
      <c r="L439" s="10">
        <f t="shared" si="9"/>
        <v>0.158</v>
      </c>
      <c r="M439" s="10">
        <f t="shared" si="10"/>
        <v>0.0148379056</v>
      </c>
      <c r="N439" s="14">
        <f t="shared" si="11"/>
        <v>1.65</v>
      </c>
      <c r="O439" s="9">
        <f t="shared" si="12"/>
        <v>539</v>
      </c>
      <c r="P439" s="9">
        <f t="shared" si="13"/>
        <v>81.26</v>
      </c>
    </row>
    <row r="440">
      <c r="A440" s="8">
        <v>439.0</v>
      </c>
      <c r="B440" s="8">
        <v>0.006</v>
      </c>
      <c r="C440" s="8">
        <v>0.285</v>
      </c>
      <c r="D440" s="9">
        <f t="shared" si="1"/>
        <v>87.4</v>
      </c>
      <c r="E440" s="9">
        <f t="shared" si="2"/>
        <v>0.93</v>
      </c>
      <c r="F440" s="10">
        <f t="shared" si="3"/>
        <v>1.965394872</v>
      </c>
      <c r="G440" s="11">
        <f t="shared" si="4"/>
        <v>79.25</v>
      </c>
      <c r="H440" s="10">
        <f t="shared" si="5"/>
        <v>141.799</v>
      </c>
      <c r="I440" s="10">
        <f t="shared" si="6"/>
        <v>13.3</v>
      </c>
      <c r="J440" s="12">
        <f t="shared" si="7"/>
        <v>16.782</v>
      </c>
      <c r="K440" s="13">
        <f t="shared" si="8"/>
        <v>0.9</v>
      </c>
      <c r="L440" s="10">
        <f t="shared" si="9"/>
        <v>0.158</v>
      </c>
      <c r="M440" s="10">
        <f t="shared" si="10"/>
        <v>0.01482090233</v>
      </c>
      <c r="N440" s="14">
        <f t="shared" si="11"/>
        <v>1.65</v>
      </c>
      <c r="O440" s="9">
        <f t="shared" si="12"/>
        <v>539</v>
      </c>
      <c r="P440" s="9">
        <f t="shared" si="13"/>
        <v>81.45</v>
      </c>
    </row>
    <row r="441">
      <c r="A441" s="8">
        <v>440.0</v>
      </c>
      <c r="B441" s="15">
        <v>4.647E-4</v>
      </c>
      <c r="C441" s="8">
        <v>0.076</v>
      </c>
      <c r="D441" s="9">
        <f t="shared" si="1"/>
        <v>24.32</v>
      </c>
      <c r="E441" s="16">
        <f t="shared" si="2"/>
        <v>1.01</v>
      </c>
      <c r="F441" s="10">
        <f t="shared" si="3"/>
        <v>1.965382467</v>
      </c>
      <c r="G441" s="11">
        <f t="shared" si="4"/>
        <v>79.13</v>
      </c>
      <c r="H441" s="10">
        <f t="shared" si="5"/>
        <v>141.661</v>
      </c>
      <c r="I441" s="10">
        <f t="shared" si="6"/>
        <v>13.27</v>
      </c>
      <c r="J441" s="12">
        <f t="shared" si="7"/>
        <v>16.77</v>
      </c>
      <c r="K441" s="13">
        <f t="shared" si="8"/>
        <v>0.9</v>
      </c>
      <c r="L441" s="10">
        <f t="shared" si="9"/>
        <v>0.158</v>
      </c>
      <c r="M441" s="10">
        <f t="shared" si="10"/>
        <v>0.01480395738</v>
      </c>
      <c r="N441" s="14">
        <f t="shared" si="11"/>
        <v>1.64</v>
      </c>
      <c r="O441" s="9">
        <f t="shared" si="12"/>
        <v>539</v>
      </c>
      <c r="P441" s="9">
        <f t="shared" si="13"/>
        <v>81.63</v>
      </c>
    </row>
    <row r="442">
      <c r="A442" s="8">
        <v>441.0</v>
      </c>
      <c r="B442" s="15">
        <v>0.013</v>
      </c>
      <c r="C442" s="8">
        <v>0.425</v>
      </c>
      <c r="D442" s="9">
        <f t="shared" si="1"/>
        <v>128.66</v>
      </c>
      <c r="E442" s="16">
        <f t="shared" si="2"/>
        <v>0.9</v>
      </c>
      <c r="F442" s="10">
        <f t="shared" si="3"/>
        <v>1.965370119</v>
      </c>
      <c r="G442" s="11">
        <f t="shared" si="4"/>
        <v>79.24</v>
      </c>
      <c r="H442" s="10">
        <f t="shared" si="5"/>
        <v>141.52</v>
      </c>
      <c r="I442" s="10">
        <f t="shared" si="6"/>
        <v>13.24</v>
      </c>
      <c r="J442" s="12">
        <f t="shared" si="7"/>
        <v>16.709</v>
      </c>
      <c r="K442" s="13">
        <f t="shared" si="8"/>
        <v>0.9</v>
      </c>
      <c r="L442" s="10">
        <f t="shared" si="9"/>
        <v>0.158</v>
      </c>
      <c r="M442" s="10">
        <f t="shared" si="10"/>
        <v>0.01478707042</v>
      </c>
      <c r="N442" s="14">
        <f t="shared" si="11"/>
        <v>1.64</v>
      </c>
      <c r="O442" s="9">
        <f t="shared" si="12"/>
        <v>539</v>
      </c>
      <c r="P442" s="9">
        <f t="shared" si="13"/>
        <v>81.82</v>
      </c>
    </row>
    <row r="443">
      <c r="A443" s="8">
        <v>442.0</v>
      </c>
      <c r="B443" s="8">
        <v>0.002</v>
      </c>
      <c r="C443" s="8">
        <v>0.142</v>
      </c>
      <c r="D443" s="9">
        <f t="shared" si="1"/>
        <v>50.46</v>
      </c>
      <c r="E443" s="9">
        <f t="shared" si="2"/>
        <v>1.25</v>
      </c>
      <c r="F443" s="10">
        <f t="shared" si="3"/>
        <v>1.965357827</v>
      </c>
      <c r="G443" s="11">
        <f t="shared" si="4"/>
        <v>79.17</v>
      </c>
      <c r="H443" s="10">
        <f t="shared" si="5"/>
        <v>141.366</v>
      </c>
      <c r="I443" s="10">
        <f t="shared" si="6"/>
        <v>13.22</v>
      </c>
      <c r="J443" s="12">
        <f t="shared" si="7"/>
        <v>16.698</v>
      </c>
      <c r="K443" s="13">
        <f t="shared" si="8"/>
        <v>0.901</v>
      </c>
      <c r="L443" s="10">
        <f t="shared" si="9"/>
        <v>0.158</v>
      </c>
      <c r="M443" s="10">
        <f t="shared" si="10"/>
        <v>0.01477024112</v>
      </c>
      <c r="N443" s="14">
        <f t="shared" si="11"/>
        <v>1.64</v>
      </c>
      <c r="O443" s="9">
        <f t="shared" si="12"/>
        <v>539</v>
      </c>
      <c r="P443" s="9">
        <f t="shared" si="13"/>
        <v>82</v>
      </c>
    </row>
    <row r="444">
      <c r="A444" s="8">
        <v>443.0</v>
      </c>
      <c r="B444" s="15">
        <v>0.006</v>
      </c>
      <c r="C444" s="8">
        <v>0.288</v>
      </c>
      <c r="D444" s="9">
        <f t="shared" si="1"/>
        <v>87.4</v>
      </c>
      <c r="E444" s="16">
        <f t="shared" si="2"/>
        <v>0.91</v>
      </c>
      <c r="F444" s="10">
        <f t="shared" si="3"/>
        <v>1.965345591</v>
      </c>
      <c r="G444" s="11">
        <f t="shared" si="4"/>
        <v>79.19</v>
      </c>
      <c r="H444" s="10">
        <f t="shared" si="5"/>
        <v>141.206</v>
      </c>
      <c r="I444" s="10">
        <f t="shared" si="6"/>
        <v>13.19</v>
      </c>
      <c r="J444" s="12">
        <f t="shared" si="7"/>
        <v>16.656</v>
      </c>
      <c r="K444" s="13">
        <f t="shared" si="8"/>
        <v>0.901</v>
      </c>
      <c r="L444" s="10">
        <f t="shared" si="9"/>
        <v>0.158</v>
      </c>
      <c r="M444" s="10">
        <f t="shared" si="10"/>
        <v>0.01475346914</v>
      </c>
      <c r="N444" s="14">
        <f t="shared" si="11"/>
        <v>1.64</v>
      </c>
      <c r="O444" s="9">
        <f t="shared" si="12"/>
        <v>539</v>
      </c>
      <c r="P444" s="9">
        <f t="shared" si="13"/>
        <v>82.19</v>
      </c>
    </row>
    <row r="445">
      <c r="A445" s="8">
        <v>444.0</v>
      </c>
      <c r="B445" s="15">
        <v>0.008</v>
      </c>
      <c r="C445" s="8">
        <v>0.325</v>
      </c>
      <c r="D445" s="9">
        <f t="shared" si="1"/>
        <v>100.93</v>
      </c>
      <c r="E445" s="16">
        <f t="shared" si="2"/>
        <v>0.95</v>
      </c>
      <c r="F445" s="10">
        <f t="shared" si="3"/>
        <v>1.96533341</v>
      </c>
      <c r="G445" s="11">
        <f t="shared" si="4"/>
        <v>79.24</v>
      </c>
      <c r="H445" s="10">
        <f t="shared" si="5"/>
        <v>141.051</v>
      </c>
      <c r="I445" s="10">
        <f t="shared" si="6"/>
        <v>13.16</v>
      </c>
      <c r="J445" s="12">
        <f t="shared" si="7"/>
        <v>16.608</v>
      </c>
      <c r="K445" s="13">
        <f t="shared" si="8"/>
        <v>0.901</v>
      </c>
      <c r="L445" s="10">
        <f t="shared" si="9"/>
        <v>0.158</v>
      </c>
      <c r="M445" s="10">
        <f t="shared" si="10"/>
        <v>0.01473675417</v>
      </c>
      <c r="N445" s="14">
        <f t="shared" si="11"/>
        <v>1.64</v>
      </c>
      <c r="O445" s="9">
        <f t="shared" si="12"/>
        <v>539</v>
      </c>
      <c r="P445" s="9">
        <f t="shared" si="13"/>
        <v>82.37</v>
      </c>
    </row>
    <row r="446">
      <c r="A446" s="8">
        <v>445.0</v>
      </c>
      <c r="B446" s="15">
        <v>9.867E-4</v>
      </c>
      <c r="C446" s="8">
        <v>0.113</v>
      </c>
      <c r="D446" s="9">
        <f t="shared" si="1"/>
        <v>35.44</v>
      </c>
      <c r="E446" s="16">
        <f t="shared" si="2"/>
        <v>0.97</v>
      </c>
      <c r="F446" s="10">
        <f t="shared" si="3"/>
        <v>1.965321285</v>
      </c>
      <c r="G446" s="11">
        <f t="shared" si="4"/>
        <v>79.14</v>
      </c>
      <c r="H446" s="10">
        <f t="shared" si="5"/>
        <v>140.907</v>
      </c>
      <c r="I446" s="10">
        <f t="shared" si="6"/>
        <v>13.13</v>
      </c>
      <c r="J446" s="12">
        <f t="shared" si="7"/>
        <v>16.591</v>
      </c>
      <c r="K446" s="13">
        <f t="shared" si="8"/>
        <v>0.901</v>
      </c>
      <c r="L446" s="10">
        <f t="shared" si="9"/>
        <v>0.158</v>
      </c>
      <c r="M446" s="10">
        <f t="shared" si="10"/>
        <v>0.01472009589</v>
      </c>
      <c r="N446" s="14">
        <f t="shared" si="11"/>
        <v>1.63</v>
      </c>
      <c r="O446" s="9">
        <f t="shared" si="12"/>
        <v>539</v>
      </c>
      <c r="P446" s="9">
        <f t="shared" si="13"/>
        <v>82.56</v>
      </c>
    </row>
    <row r="447">
      <c r="A447" s="8">
        <v>446.0</v>
      </c>
      <c r="B447" s="15">
        <v>0.002</v>
      </c>
      <c r="C447" s="8">
        <v>0.141</v>
      </c>
      <c r="D447" s="9">
        <f t="shared" si="1"/>
        <v>50.46</v>
      </c>
      <c r="E447" s="16">
        <f t="shared" si="2"/>
        <v>1.26</v>
      </c>
      <c r="F447" s="10">
        <f t="shared" si="3"/>
        <v>1.965309213</v>
      </c>
      <c r="G447" s="11">
        <f t="shared" si="4"/>
        <v>79.08</v>
      </c>
      <c r="H447" s="10">
        <f t="shared" si="5"/>
        <v>140.755</v>
      </c>
      <c r="I447" s="10">
        <f t="shared" si="6"/>
        <v>13.1</v>
      </c>
      <c r="J447" s="12">
        <f t="shared" si="7"/>
        <v>16.566</v>
      </c>
      <c r="K447" s="13">
        <f t="shared" si="8"/>
        <v>0.902</v>
      </c>
      <c r="L447" s="10">
        <f t="shared" si="9"/>
        <v>0.159</v>
      </c>
      <c r="M447" s="10">
        <f t="shared" si="10"/>
        <v>0.01479655406</v>
      </c>
      <c r="N447" s="14">
        <f t="shared" si="11"/>
        <v>1.64</v>
      </c>
      <c r="O447" s="9">
        <f t="shared" si="12"/>
        <v>539</v>
      </c>
      <c r="P447" s="9">
        <f t="shared" si="13"/>
        <v>82.75</v>
      </c>
    </row>
    <row r="448">
      <c r="A448" s="8">
        <v>447.0</v>
      </c>
      <c r="B448" s="15">
        <v>0.008</v>
      </c>
      <c r="C448" s="8">
        <v>0.334</v>
      </c>
      <c r="D448" s="9">
        <f t="shared" si="1"/>
        <v>100.93</v>
      </c>
      <c r="E448" s="16">
        <f t="shared" si="2"/>
        <v>0.9</v>
      </c>
      <c r="F448" s="10">
        <f t="shared" si="3"/>
        <v>1.965297197</v>
      </c>
      <c r="G448" s="11">
        <f t="shared" si="4"/>
        <v>79.13</v>
      </c>
      <c r="H448" s="10">
        <f t="shared" si="5"/>
        <v>140.601</v>
      </c>
      <c r="I448" s="10">
        <f t="shared" si="6"/>
        <v>13.07</v>
      </c>
      <c r="J448" s="12">
        <f t="shared" si="7"/>
        <v>16.517</v>
      </c>
      <c r="K448" s="13">
        <f t="shared" si="8"/>
        <v>0.902</v>
      </c>
      <c r="L448" s="10">
        <f t="shared" si="9"/>
        <v>0.158</v>
      </c>
      <c r="M448" s="10">
        <f t="shared" si="10"/>
        <v>0.01468694809</v>
      </c>
      <c r="N448" s="14">
        <f t="shared" si="11"/>
        <v>1.63</v>
      </c>
      <c r="O448" s="9">
        <f t="shared" si="12"/>
        <v>539</v>
      </c>
      <c r="P448" s="9">
        <f t="shared" si="13"/>
        <v>82.93</v>
      </c>
    </row>
    <row r="449">
      <c r="A449" s="8">
        <v>448.0</v>
      </c>
      <c r="B449" s="15">
        <v>0.002</v>
      </c>
      <c r="C449" s="8">
        <v>0.166</v>
      </c>
      <c r="D449" s="9">
        <f t="shared" si="1"/>
        <v>50.46</v>
      </c>
      <c r="E449" s="16">
        <f t="shared" si="2"/>
        <v>0.91</v>
      </c>
      <c r="F449" s="10">
        <f t="shared" si="3"/>
        <v>1.965285234</v>
      </c>
      <c r="G449" s="11">
        <f t="shared" si="4"/>
        <v>79.06</v>
      </c>
      <c r="H449" s="10">
        <f t="shared" si="5"/>
        <v>140.45</v>
      </c>
      <c r="I449" s="10">
        <f t="shared" si="6"/>
        <v>13.04</v>
      </c>
      <c r="J449" s="12">
        <f t="shared" si="7"/>
        <v>16.494</v>
      </c>
      <c r="K449" s="13">
        <f t="shared" si="8"/>
        <v>0.902</v>
      </c>
      <c r="L449" s="10">
        <f t="shared" si="9"/>
        <v>0.158</v>
      </c>
      <c r="M449" s="10">
        <f t="shared" si="10"/>
        <v>0.01467045795</v>
      </c>
      <c r="N449" s="14">
        <f t="shared" si="11"/>
        <v>1.63</v>
      </c>
      <c r="O449" s="9">
        <f t="shared" si="12"/>
        <v>539</v>
      </c>
      <c r="P449" s="9">
        <f t="shared" si="13"/>
        <v>83.12</v>
      </c>
    </row>
    <row r="450">
      <c r="A450" s="8">
        <v>449.0</v>
      </c>
      <c r="B450" s="15">
        <v>9.548E-4</v>
      </c>
      <c r="C450" s="8">
        <v>0.113</v>
      </c>
      <c r="D450" s="9">
        <f t="shared" si="1"/>
        <v>34.87</v>
      </c>
      <c r="E450" s="16">
        <f t="shared" si="2"/>
        <v>0.94</v>
      </c>
      <c r="F450" s="10">
        <f t="shared" si="3"/>
        <v>1.965273324</v>
      </c>
      <c r="G450" s="11">
        <f t="shared" si="4"/>
        <v>78.97</v>
      </c>
      <c r="H450" s="10">
        <f t="shared" si="5"/>
        <v>140.309</v>
      </c>
      <c r="I450" s="10">
        <f t="shared" si="6"/>
        <v>13.01</v>
      </c>
      <c r="J450" s="12">
        <f t="shared" si="7"/>
        <v>16.475</v>
      </c>
      <c r="K450" s="13">
        <f t="shared" si="8"/>
        <v>0.902</v>
      </c>
      <c r="L450" s="10">
        <f t="shared" si="9"/>
        <v>0.158</v>
      </c>
      <c r="M450" s="10">
        <f t="shared" si="10"/>
        <v>0.01465402323</v>
      </c>
      <c r="N450" s="14">
        <f t="shared" si="11"/>
        <v>1.62</v>
      </c>
      <c r="O450" s="9">
        <f t="shared" si="12"/>
        <v>539</v>
      </c>
      <c r="P450" s="9">
        <f t="shared" si="13"/>
        <v>83.3</v>
      </c>
    </row>
    <row r="451">
      <c r="A451" s="8">
        <v>450.0</v>
      </c>
      <c r="B451" s="15">
        <v>0.007</v>
      </c>
      <c r="C451" s="8">
        <v>0.301</v>
      </c>
      <c r="D451" s="9">
        <f t="shared" si="1"/>
        <v>94.41</v>
      </c>
      <c r="E451" s="16">
        <f t="shared" si="2"/>
        <v>0.97</v>
      </c>
      <c r="F451" s="10">
        <f t="shared" si="3"/>
        <v>1.965261468</v>
      </c>
      <c r="G451" s="11">
        <f t="shared" si="4"/>
        <v>79</v>
      </c>
      <c r="H451" s="10">
        <f t="shared" si="5"/>
        <v>140.155</v>
      </c>
      <c r="I451" s="10">
        <f t="shared" si="6"/>
        <v>12.98</v>
      </c>
      <c r="J451" s="12">
        <f t="shared" si="7"/>
        <v>16.43</v>
      </c>
      <c r="K451" s="13">
        <f t="shared" si="8"/>
        <v>0.902</v>
      </c>
      <c r="L451" s="10">
        <f t="shared" si="9"/>
        <v>0.158</v>
      </c>
      <c r="M451" s="10">
        <f t="shared" si="10"/>
        <v>0.01463764362</v>
      </c>
      <c r="N451" s="14">
        <f t="shared" si="11"/>
        <v>1.62</v>
      </c>
      <c r="O451" s="9">
        <f t="shared" si="12"/>
        <v>539</v>
      </c>
      <c r="P451" s="9">
        <f t="shared" si="13"/>
        <v>83.49</v>
      </c>
    </row>
    <row r="452">
      <c r="A452" s="8">
        <v>451.0</v>
      </c>
      <c r="B452" s="15">
        <v>0.001</v>
      </c>
      <c r="C452" s="8">
        <v>0.126</v>
      </c>
      <c r="D452" s="9">
        <f t="shared" si="1"/>
        <v>35.68</v>
      </c>
      <c r="E452" s="16">
        <f t="shared" si="2"/>
        <v>0.79</v>
      </c>
      <c r="F452" s="10">
        <f t="shared" si="3"/>
        <v>1.965249665</v>
      </c>
      <c r="G452" s="11">
        <f t="shared" si="4"/>
        <v>78.9</v>
      </c>
      <c r="H452" s="10">
        <f t="shared" si="5"/>
        <v>140.014</v>
      </c>
      <c r="I452" s="10">
        <f t="shared" si="6"/>
        <v>12.96</v>
      </c>
      <c r="J452" s="12">
        <f t="shared" si="7"/>
        <v>16.426</v>
      </c>
      <c r="K452" s="13">
        <f t="shared" si="8"/>
        <v>0.902</v>
      </c>
      <c r="L452" s="10">
        <f t="shared" si="9"/>
        <v>0.158</v>
      </c>
      <c r="M452" s="10">
        <f t="shared" si="10"/>
        <v>0.01462131881</v>
      </c>
      <c r="N452" s="14">
        <f t="shared" si="11"/>
        <v>1.62</v>
      </c>
      <c r="O452" s="9">
        <f t="shared" si="12"/>
        <v>539</v>
      </c>
      <c r="P452" s="9">
        <f t="shared" si="13"/>
        <v>83.67</v>
      </c>
    </row>
    <row r="453">
      <c r="A453" s="8">
        <v>452.0</v>
      </c>
      <c r="B453" s="8">
        <v>0.01</v>
      </c>
      <c r="C453" s="8">
        <v>0.403</v>
      </c>
      <c r="D453" s="9">
        <f t="shared" si="1"/>
        <v>112.84</v>
      </c>
      <c r="E453" s="9">
        <f t="shared" si="2"/>
        <v>0.77</v>
      </c>
      <c r="F453" s="10">
        <f t="shared" si="3"/>
        <v>1.965237914</v>
      </c>
      <c r="G453" s="11">
        <f t="shared" si="4"/>
        <v>78.98</v>
      </c>
      <c r="H453" s="10">
        <f t="shared" si="5"/>
        <v>139.867</v>
      </c>
      <c r="I453" s="10">
        <f t="shared" si="6"/>
        <v>12.93</v>
      </c>
      <c r="J453" s="12">
        <f t="shared" si="7"/>
        <v>16.371</v>
      </c>
      <c r="K453" s="13">
        <f t="shared" si="8"/>
        <v>0.902</v>
      </c>
      <c r="L453" s="10">
        <f t="shared" si="9"/>
        <v>0.158</v>
      </c>
      <c r="M453" s="10">
        <f t="shared" si="10"/>
        <v>0.0146050485</v>
      </c>
      <c r="N453" s="14">
        <f t="shared" si="11"/>
        <v>1.62</v>
      </c>
      <c r="O453" s="9">
        <f t="shared" si="12"/>
        <v>539</v>
      </c>
      <c r="P453" s="9">
        <f t="shared" si="13"/>
        <v>83.86</v>
      </c>
    </row>
    <row r="454">
      <c r="A454" s="8">
        <v>453.0</v>
      </c>
      <c r="B454" s="15">
        <v>0.005</v>
      </c>
      <c r="C454" s="8">
        <v>0.271</v>
      </c>
      <c r="D454" s="9">
        <f t="shared" si="1"/>
        <v>79.79</v>
      </c>
      <c r="E454" s="16">
        <f t="shared" si="2"/>
        <v>0.86</v>
      </c>
      <c r="F454" s="10">
        <f t="shared" si="3"/>
        <v>1.965226215</v>
      </c>
      <c r="G454" s="11">
        <f t="shared" si="4"/>
        <v>78.98</v>
      </c>
      <c r="H454" s="10">
        <f t="shared" si="5"/>
        <v>139.713</v>
      </c>
      <c r="I454" s="10">
        <f t="shared" si="6"/>
        <v>12.9</v>
      </c>
      <c r="J454" s="12">
        <f t="shared" si="7"/>
        <v>16.333</v>
      </c>
      <c r="K454" s="13">
        <f t="shared" si="8"/>
        <v>0.902</v>
      </c>
      <c r="L454" s="10">
        <f t="shared" si="9"/>
        <v>0.158</v>
      </c>
      <c r="M454" s="10">
        <f t="shared" si="10"/>
        <v>0.01458883239</v>
      </c>
      <c r="N454" s="14">
        <f t="shared" si="11"/>
        <v>1.62</v>
      </c>
      <c r="O454" s="9">
        <f t="shared" si="12"/>
        <v>539</v>
      </c>
      <c r="P454" s="9">
        <f t="shared" si="13"/>
        <v>84.04</v>
      </c>
    </row>
    <row r="455">
      <c r="A455" s="8">
        <v>454.0</v>
      </c>
      <c r="B455" s="15">
        <v>0.004</v>
      </c>
      <c r="C455" s="8">
        <v>0.23</v>
      </c>
      <c r="D455" s="9">
        <f t="shared" si="1"/>
        <v>71.36</v>
      </c>
      <c r="E455" s="16">
        <f t="shared" si="2"/>
        <v>0.95</v>
      </c>
      <c r="F455" s="10">
        <f t="shared" si="3"/>
        <v>1.965214568</v>
      </c>
      <c r="G455" s="11">
        <f t="shared" si="4"/>
        <v>78.96</v>
      </c>
      <c r="H455" s="10">
        <f t="shared" si="5"/>
        <v>139.559</v>
      </c>
      <c r="I455" s="10">
        <f t="shared" si="6"/>
        <v>12.87</v>
      </c>
      <c r="J455" s="12">
        <f t="shared" si="7"/>
        <v>16.299</v>
      </c>
      <c r="K455" s="13">
        <f t="shared" si="8"/>
        <v>0.902</v>
      </c>
      <c r="L455" s="10">
        <f t="shared" si="9"/>
        <v>0.158</v>
      </c>
      <c r="M455" s="10">
        <f t="shared" si="10"/>
        <v>0.01457267017</v>
      </c>
      <c r="N455" s="14">
        <f t="shared" si="11"/>
        <v>1.62</v>
      </c>
      <c r="O455" s="9">
        <f t="shared" si="12"/>
        <v>539</v>
      </c>
      <c r="P455" s="9">
        <f t="shared" si="13"/>
        <v>84.23</v>
      </c>
    </row>
    <row r="456">
      <c r="A456" s="8">
        <v>455.0</v>
      </c>
      <c r="B456" s="15">
        <v>0.001</v>
      </c>
      <c r="C456" s="8">
        <v>0.124</v>
      </c>
      <c r="D456" s="9">
        <f t="shared" si="1"/>
        <v>35.68</v>
      </c>
      <c r="E456" s="16">
        <f t="shared" si="2"/>
        <v>0.82</v>
      </c>
      <c r="F456" s="10">
        <f t="shared" si="3"/>
        <v>1.965202973</v>
      </c>
      <c r="G456" s="11">
        <f t="shared" si="4"/>
        <v>78.87</v>
      </c>
      <c r="H456" s="10">
        <f t="shared" si="5"/>
        <v>139.42</v>
      </c>
      <c r="I456" s="10">
        <f t="shared" si="6"/>
        <v>12.84</v>
      </c>
      <c r="J456" s="12">
        <f t="shared" si="7"/>
        <v>16.28</v>
      </c>
      <c r="K456" s="13">
        <f t="shared" si="8"/>
        <v>0.902</v>
      </c>
      <c r="L456" s="10">
        <f t="shared" si="9"/>
        <v>0.157</v>
      </c>
      <c r="M456" s="10">
        <f t="shared" si="10"/>
        <v>0.01446443141</v>
      </c>
      <c r="N456" s="14">
        <f t="shared" si="11"/>
        <v>1.6</v>
      </c>
      <c r="O456" s="9">
        <f t="shared" si="12"/>
        <v>539</v>
      </c>
      <c r="P456" s="9">
        <f t="shared" si="13"/>
        <v>84.42</v>
      </c>
    </row>
    <row r="457">
      <c r="A457" s="8">
        <v>456.0</v>
      </c>
      <c r="B457" s="15">
        <v>0.007</v>
      </c>
      <c r="C457" s="8">
        <v>0.303</v>
      </c>
      <c r="D457" s="9">
        <f t="shared" si="1"/>
        <v>94.41</v>
      </c>
      <c r="E457" s="16">
        <f t="shared" si="2"/>
        <v>0.96</v>
      </c>
      <c r="F457" s="10">
        <f t="shared" si="3"/>
        <v>1.965191428</v>
      </c>
      <c r="G457" s="11">
        <f t="shared" si="4"/>
        <v>78.9</v>
      </c>
      <c r="H457" s="10">
        <f t="shared" si="5"/>
        <v>139.268</v>
      </c>
      <c r="I457" s="10">
        <f t="shared" si="6"/>
        <v>12.82</v>
      </c>
      <c r="J457" s="12">
        <f t="shared" si="7"/>
        <v>16.248</v>
      </c>
      <c r="K457" s="13">
        <f t="shared" si="8"/>
        <v>0.902</v>
      </c>
      <c r="L457" s="10">
        <f t="shared" si="9"/>
        <v>0.157</v>
      </c>
      <c r="M457" s="10">
        <f t="shared" si="10"/>
        <v>0.01444847771</v>
      </c>
      <c r="N457" s="14">
        <f t="shared" si="11"/>
        <v>1.6</v>
      </c>
      <c r="O457" s="9">
        <f t="shared" si="12"/>
        <v>539</v>
      </c>
      <c r="P457" s="9">
        <f t="shared" si="13"/>
        <v>84.6</v>
      </c>
    </row>
    <row r="458">
      <c r="A458" s="8">
        <v>457.0</v>
      </c>
      <c r="B458" s="8">
        <v>0.001</v>
      </c>
      <c r="C458" s="8">
        <v>0.128</v>
      </c>
      <c r="D458" s="9">
        <f t="shared" si="1"/>
        <v>35.68</v>
      </c>
      <c r="E458" s="9">
        <f t="shared" si="2"/>
        <v>0.77</v>
      </c>
      <c r="F458" s="10">
        <f t="shared" si="3"/>
        <v>1.965179935</v>
      </c>
      <c r="G458" s="11">
        <f t="shared" si="4"/>
        <v>78.81</v>
      </c>
      <c r="H458" s="10">
        <f t="shared" si="5"/>
        <v>139.13</v>
      </c>
      <c r="I458" s="10">
        <f t="shared" si="6"/>
        <v>12.79</v>
      </c>
      <c r="J458" s="12">
        <f t="shared" si="7"/>
        <v>16.229</v>
      </c>
      <c r="K458" s="13">
        <f t="shared" si="8"/>
        <v>0.902</v>
      </c>
      <c r="L458" s="10">
        <f t="shared" si="9"/>
        <v>0.157</v>
      </c>
      <c r="M458" s="10">
        <f t="shared" si="10"/>
        <v>0.01443257668</v>
      </c>
      <c r="N458" s="14">
        <f t="shared" si="11"/>
        <v>1.6</v>
      </c>
      <c r="O458" s="9">
        <f t="shared" si="12"/>
        <v>539</v>
      </c>
      <c r="P458" s="9">
        <f t="shared" si="13"/>
        <v>84.79</v>
      </c>
    </row>
    <row r="459">
      <c r="A459" s="8">
        <v>458.0</v>
      </c>
      <c r="B459" s="15">
        <v>0.004</v>
      </c>
      <c r="C459" s="8">
        <v>0.245</v>
      </c>
      <c r="D459" s="9">
        <f t="shared" si="1"/>
        <v>71.36</v>
      </c>
      <c r="E459" s="16">
        <f t="shared" si="2"/>
        <v>0.84</v>
      </c>
      <c r="F459" s="10">
        <f t="shared" si="3"/>
        <v>1.965168491</v>
      </c>
      <c r="G459" s="11">
        <f t="shared" si="4"/>
        <v>78.79</v>
      </c>
      <c r="H459" s="10">
        <f t="shared" si="5"/>
        <v>138.978</v>
      </c>
      <c r="I459" s="10">
        <f t="shared" si="6"/>
        <v>12.76</v>
      </c>
      <c r="J459" s="12">
        <f t="shared" si="7"/>
        <v>16.195</v>
      </c>
      <c r="K459" s="13">
        <f t="shared" si="8"/>
        <v>0.901</v>
      </c>
      <c r="L459" s="10">
        <f t="shared" si="9"/>
        <v>0.157</v>
      </c>
      <c r="M459" s="10">
        <f t="shared" si="10"/>
        <v>0.01441672803</v>
      </c>
      <c r="N459" s="14">
        <f t="shared" si="11"/>
        <v>1.6</v>
      </c>
      <c r="O459" s="9">
        <f t="shared" si="12"/>
        <v>539</v>
      </c>
      <c r="P459" s="9">
        <f t="shared" si="13"/>
        <v>84.97</v>
      </c>
    </row>
    <row r="460">
      <c r="A460" s="8">
        <v>459.0</v>
      </c>
      <c r="B460" s="15">
        <v>0.012</v>
      </c>
      <c r="C460" s="8">
        <v>0.398</v>
      </c>
      <c r="D460" s="9">
        <f t="shared" si="1"/>
        <v>123.61</v>
      </c>
      <c r="E460" s="16">
        <f t="shared" si="2"/>
        <v>0.95</v>
      </c>
      <c r="F460" s="10">
        <f t="shared" si="3"/>
        <v>1.965157098</v>
      </c>
      <c r="G460" s="11">
        <f t="shared" si="4"/>
        <v>78.89</v>
      </c>
      <c r="H460" s="10">
        <f t="shared" si="5"/>
        <v>138.842</v>
      </c>
      <c r="I460" s="10">
        <f t="shared" si="6"/>
        <v>12.74</v>
      </c>
      <c r="J460" s="12">
        <f t="shared" si="7"/>
        <v>16.149</v>
      </c>
      <c r="K460" s="13">
        <f t="shared" si="8"/>
        <v>0.901</v>
      </c>
      <c r="L460" s="10">
        <f t="shared" si="9"/>
        <v>0.157</v>
      </c>
      <c r="M460" s="10">
        <f t="shared" si="10"/>
        <v>0.01440093148</v>
      </c>
      <c r="N460" s="14">
        <f t="shared" si="11"/>
        <v>1.6</v>
      </c>
      <c r="O460" s="9">
        <f t="shared" si="12"/>
        <v>539</v>
      </c>
      <c r="P460" s="9">
        <f t="shared" si="13"/>
        <v>85.16</v>
      </c>
    </row>
    <row r="461">
      <c r="A461" s="8">
        <v>460.0</v>
      </c>
      <c r="B461" s="15">
        <v>3.31E-4</v>
      </c>
      <c r="C461" s="8">
        <v>0.064</v>
      </c>
      <c r="D461" s="9">
        <f t="shared" si="1"/>
        <v>20.53</v>
      </c>
      <c r="E461" s="16">
        <f t="shared" si="2"/>
        <v>1.02</v>
      </c>
      <c r="F461" s="10">
        <f t="shared" si="3"/>
        <v>1.965145755</v>
      </c>
      <c r="G461" s="11">
        <f t="shared" si="4"/>
        <v>78.76</v>
      </c>
      <c r="H461" s="10">
        <f t="shared" si="5"/>
        <v>138.718</v>
      </c>
      <c r="I461" s="10">
        <f t="shared" si="6"/>
        <v>12.71</v>
      </c>
      <c r="J461" s="12">
        <f t="shared" si="7"/>
        <v>16.138</v>
      </c>
      <c r="K461" s="13">
        <f t="shared" si="8"/>
        <v>0.902</v>
      </c>
      <c r="L461" s="10">
        <f t="shared" si="9"/>
        <v>0.157</v>
      </c>
      <c r="M461" s="10">
        <f t="shared" si="10"/>
        <v>0.01438518674</v>
      </c>
      <c r="N461" s="14">
        <f t="shared" si="11"/>
        <v>1.59</v>
      </c>
      <c r="O461" s="9">
        <f t="shared" si="12"/>
        <v>539</v>
      </c>
      <c r="P461" s="9">
        <f t="shared" si="13"/>
        <v>85.34</v>
      </c>
    </row>
    <row r="462">
      <c r="A462" s="8">
        <v>461.0</v>
      </c>
      <c r="B462" s="15">
        <v>0.008</v>
      </c>
      <c r="C462" s="8">
        <v>0.335</v>
      </c>
      <c r="D462" s="9">
        <f t="shared" si="1"/>
        <v>100.93</v>
      </c>
      <c r="E462" s="16">
        <f t="shared" si="2"/>
        <v>0.9</v>
      </c>
      <c r="F462" s="10">
        <f t="shared" si="3"/>
        <v>1.965134461</v>
      </c>
      <c r="G462" s="11">
        <f t="shared" si="4"/>
        <v>78.81</v>
      </c>
      <c r="H462" s="10">
        <f t="shared" si="5"/>
        <v>138.571</v>
      </c>
      <c r="I462" s="10">
        <f t="shared" si="6"/>
        <v>12.68</v>
      </c>
      <c r="J462" s="12">
        <f t="shared" si="7"/>
        <v>16.089</v>
      </c>
      <c r="K462" s="13">
        <f t="shared" si="8"/>
        <v>0.902</v>
      </c>
      <c r="L462" s="10">
        <f t="shared" si="9"/>
        <v>0.157</v>
      </c>
      <c r="M462" s="10">
        <f t="shared" si="10"/>
        <v>0.01436949353</v>
      </c>
      <c r="N462" s="14">
        <f t="shared" si="11"/>
        <v>1.59</v>
      </c>
      <c r="O462" s="9">
        <f t="shared" si="12"/>
        <v>539</v>
      </c>
      <c r="P462" s="9">
        <f t="shared" si="13"/>
        <v>85.53</v>
      </c>
    </row>
    <row r="463">
      <c r="A463" s="8">
        <v>462.0</v>
      </c>
      <c r="B463" s="8">
        <v>0.012</v>
      </c>
      <c r="C463" s="8">
        <v>0.411</v>
      </c>
      <c r="D463" s="9">
        <f t="shared" si="1"/>
        <v>123.61</v>
      </c>
      <c r="E463" s="9">
        <f t="shared" si="2"/>
        <v>0.89</v>
      </c>
      <c r="F463" s="10">
        <f t="shared" si="3"/>
        <v>1.965123216</v>
      </c>
      <c r="G463" s="11">
        <f t="shared" si="4"/>
        <v>78.91</v>
      </c>
      <c r="H463" s="10">
        <f t="shared" si="5"/>
        <v>138.436</v>
      </c>
      <c r="I463" s="10">
        <f t="shared" si="6"/>
        <v>12.66</v>
      </c>
      <c r="J463" s="12">
        <f t="shared" si="7"/>
        <v>16.044</v>
      </c>
      <c r="K463" s="13">
        <f t="shared" si="8"/>
        <v>0.902</v>
      </c>
      <c r="L463" s="10">
        <f t="shared" si="9"/>
        <v>0.156</v>
      </c>
      <c r="M463" s="10">
        <f t="shared" si="10"/>
        <v>0.01426242577</v>
      </c>
      <c r="N463" s="14">
        <f t="shared" si="11"/>
        <v>1.58</v>
      </c>
      <c r="O463" s="9">
        <f t="shared" si="12"/>
        <v>539</v>
      </c>
      <c r="P463" s="9">
        <f t="shared" si="13"/>
        <v>85.71</v>
      </c>
    </row>
    <row r="464">
      <c r="A464" s="8">
        <v>463.0</v>
      </c>
      <c r="B464" s="8">
        <v>0.014</v>
      </c>
      <c r="C464" s="8">
        <v>0.439</v>
      </c>
      <c r="D464" s="9">
        <f t="shared" si="1"/>
        <v>133.51</v>
      </c>
      <c r="E464" s="9">
        <f t="shared" si="2"/>
        <v>0.91</v>
      </c>
      <c r="F464" s="10">
        <f t="shared" si="3"/>
        <v>1.96511202</v>
      </c>
      <c r="G464" s="11">
        <f t="shared" si="4"/>
        <v>79.03</v>
      </c>
      <c r="H464" s="10">
        <f t="shared" si="5"/>
        <v>138.309</v>
      </c>
      <c r="I464" s="10">
        <f t="shared" si="6"/>
        <v>12.63</v>
      </c>
      <c r="J464" s="12">
        <f t="shared" si="7"/>
        <v>15.981</v>
      </c>
      <c r="K464" s="13">
        <f t="shared" si="8"/>
        <v>0.902</v>
      </c>
      <c r="L464" s="10">
        <f t="shared" si="9"/>
        <v>0.156</v>
      </c>
      <c r="M464" s="10">
        <f t="shared" si="10"/>
        <v>0.01424693409</v>
      </c>
      <c r="N464" s="14">
        <f t="shared" si="11"/>
        <v>1.58</v>
      </c>
      <c r="O464" s="9">
        <f t="shared" si="12"/>
        <v>539</v>
      </c>
      <c r="P464" s="9">
        <f t="shared" si="13"/>
        <v>85.9</v>
      </c>
    </row>
    <row r="465">
      <c r="A465" s="8">
        <v>464.0</v>
      </c>
      <c r="B465" s="15">
        <v>0.004</v>
      </c>
      <c r="C465" s="8">
        <v>0.234</v>
      </c>
      <c r="D465" s="9">
        <f t="shared" si="1"/>
        <v>71.36</v>
      </c>
      <c r="E465" s="16">
        <f t="shared" si="2"/>
        <v>0.92</v>
      </c>
      <c r="F465" s="10">
        <f t="shared" si="3"/>
        <v>1.965100873</v>
      </c>
      <c r="G465" s="11">
        <f t="shared" si="4"/>
        <v>79.01</v>
      </c>
      <c r="H465" s="10">
        <f t="shared" si="5"/>
        <v>138.16</v>
      </c>
      <c r="I465" s="10">
        <f t="shared" si="6"/>
        <v>12.6</v>
      </c>
      <c r="J465" s="12">
        <f t="shared" si="7"/>
        <v>15.947</v>
      </c>
      <c r="K465" s="13">
        <f t="shared" si="8"/>
        <v>0.902</v>
      </c>
      <c r="L465" s="10">
        <f t="shared" si="9"/>
        <v>0.156</v>
      </c>
      <c r="M465" s="10">
        <f t="shared" si="10"/>
        <v>0.01423149277</v>
      </c>
      <c r="N465" s="14">
        <f t="shared" si="11"/>
        <v>1.58</v>
      </c>
      <c r="O465" s="9">
        <f t="shared" si="12"/>
        <v>539</v>
      </c>
      <c r="P465" s="9">
        <f t="shared" si="13"/>
        <v>86.09</v>
      </c>
    </row>
    <row r="466">
      <c r="A466" s="8">
        <v>465.0</v>
      </c>
      <c r="B466" s="15">
        <v>0.009</v>
      </c>
      <c r="C466" s="8">
        <v>0.363</v>
      </c>
      <c r="D466" s="9">
        <f t="shared" si="1"/>
        <v>107.05</v>
      </c>
      <c r="E466" s="16">
        <f t="shared" si="2"/>
        <v>0.86</v>
      </c>
      <c r="F466" s="10">
        <f t="shared" si="3"/>
        <v>1.965089774</v>
      </c>
      <c r="G466" s="11">
        <f t="shared" si="4"/>
        <v>79.07</v>
      </c>
      <c r="H466" s="10">
        <f t="shared" si="5"/>
        <v>138.018</v>
      </c>
      <c r="I466" s="10">
        <f t="shared" si="6"/>
        <v>12.58</v>
      </c>
      <c r="J466" s="12">
        <f t="shared" si="7"/>
        <v>15.91</v>
      </c>
      <c r="K466" s="13">
        <f t="shared" si="8"/>
        <v>0.902</v>
      </c>
      <c r="L466" s="10">
        <f t="shared" si="9"/>
        <v>0.156</v>
      </c>
      <c r="M466" s="10">
        <f t="shared" si="10"/>
        <v>0.01421610156</v>
      </c>
      <c r="N466" s="14">
        <f t="shared" si="11"/>
        <v>1.58</v>
      </c>
      <c r="O466" s="9">
        <f t="shared" si="12"/>
        <v>539</v>
      </c>
      <c r="P466" s="9">
        <f t="shared" si="13"/>
        <v>86.27</v>
      </c>
    </row>
    <row r="467">
      <c r="A467" s="8">
        <v>466.0</v>
      </c>
      <c r="B467" s="8">
        <v>0.007</v>
      </c>
      <c r="C467" s="8">
        <v>0.304</v>
      </c>
      <c r="D467" s="9">
        <f t="shared" si="1"/>
        <v>94.41</v>
      </c>
      <c r="E467" s="9">
        <f t="shared" si="2"/>
        <v>0.95</v>
      </c>
      <c r="F467" s="10">
        <f t="shared" si="3"/>
        <v>1.965078722</v>
      </c>
      <c r="G467" s="11">
        <f t="shared" si="4"/>
        <v>79.1</v>
      </c>
      <c r="H467" s="10">
        <f t="shared" si="5"/>
        <v>137.871</v>
      </c>
      <c r="I467" s="10">
        <f t="shared" si="6"/>
        <v>12.55</v>
      </c>
      <c r="J467" s="12">
        <f t="shared" si="7"/>
        <v>15.866</v>
      </c>
      <c r="K467" s="13">
        <f t="shared" si="8"/>
        <v>0.902</v>
      </c>
      <c r="L467" s="10">
        <f t="shared" si="9"/>
        <v>0.156</v>
      </c>
      <c r="M467" s="10">
        <f t="shared" si="10"/>
        <v>0.01420076018</v>
      </c>
      <c r="N467" s="14">
        <f t="shared" si="11"/>
        <v>1.57</v>
      </c>
      <c r="O467" s="9">
        <f t="shared" si="12"/>
        <v>539</v>
      </c>
      <c r="P467" s="9">
        <f t="shared" si="13"/>
        <v>86.46</v>
      </c>
    </row>
    <row r="468">
      <c r="A468" s="8">
        <v>467.0</v>
      </c>
      <c r="B468" s="8">
        <v>0.005</v>
      </c>
      <c r="C468" s="8">
        <v>0.263</v>
      </c>
      <c r="D468" s="9">
        <f t="shared" si="1"/>
        <v>79.79</v>
      </c>
      <c r="E468" s="9">
        <f t="shared" si="2"/>
        <v>0.91</v>
      </c>
      <c r="F468" s="10">
        <f t="shared" si="3"/>
        <v>1.965067718</v>
      </c>
      <c r="G468" s="11">
        <f t="shared" si="4"/>
        <v>79.1</v>
      </c>
      <c r="H468" s="10">
        <f t="shared" si="5"/>
        <v>137.723</v>
      </c>
      <c r="I468" s="10">
        <f t="shared" si="6"/>
        <v>12.52</v>
      </c>
      <c r="J468" s="12">
        <f t="shared" si="7"/>
        <v>15.828</v>
      </c>
      <c r="K468" s="13">
        <f t="shared" si="8"/>
        <v>0.902</v>
      </c>
      <c r="L468" s="10">
        <f t="shared" si="9"/>
        <v>0.156</v>
      </c>
      <c r="M468" s="10">
        <f t="shared" si="10"/>
        <v>0.01418546835</v>
      </c>
      <c r="N468" s="14">
        <f t="shared" si="11"/>
        <v>1.57</v>
      </c>
      <c r="O468" s="9">
        <f t="shared" si="12"/>
        <v>539</v>
      </c>
      <c r="P468" s="9">
        <f t="shared" si="13"/>
        <v>86.64</v>
      </c>
    </row>
    <row r="469">
      <c r="A469" s="8">
        <v>468.0</v>
      </c>
      <c r="B469" s="15">
        <v>6.684E-4</v>
      </c>
      <c r="C469" s="8">
        <v>0.092</v>
      </c>
      <c r="D469" s="9">
        <f t="shared" si="1"/>
        <v>29.17</v>
      </c>
      <c r="E469" s="16">
        <f t="shared" si="2"/>
        <v>0.99</v>
      </c>
      <c r="F469" s="10">
        <f t="shared" si="3"/>
        <v>1.965056762</v>
      </c>
      <c r="G469" s="11">
        <f t="shared" si="4"/>
        <v>79</v>
      </c>
      <c r="H469" s="10">
        <f t="shared" si="5"/>
        <v>137.595</v>
      </c>
      <c r="I469" s="10">
        <f t="shared" si="6"/>
        <v>12.5</v>
      </c>
      <c r="J469" s="12">
        <f t="shared" si="7"/>
        <v>15.823</v>
      </c>
      <c r="K469" s="13">
        <f t="shared" si="8"/>
        <v>0.902</v>
      </c>
      <c r="L469" s="10">
        <f t="shared" si="9"/>
        <v>0.156</v>
      </c>
      <c r="M469" s="10">
        <f t="shared" si="10"/>
        <v>0.01417022583</v>
      </c>
      <c r="N469" s="14">
        <f t="shared" si="11"/>
        <v>1.57</v>
      </c>
      <c r="O469" s="9">
        <f t="shared" si="12"/>
        <v>539</v>
      </c>
      <c r="P469" s="9">
        <f t="shared" si="13"/>
        <v>86.83</v>
      </c>
    </row>
    <row r="470">
      <c r="A470" s="8">
        <v>469.0</v>
      </c>
      <c r="B470" s="15">
        <v>3.31E-4</v>
      </c>
      <c r="C470" s="8">
        <v>0.064</v>
      </c>
      <c r="D470" s="9">
        <f t="shared" si="1"/>
        <v>20.53</v>
      </c>
      <c r="E470" s="16">
        <f t="shared" si="2"/>
        <v>1.02</v>
      </c>
      <c r="F470" s="10">
        <f t="shared" si="3"/>
        <v>1.965045852</v>
      </c>
      <c r="G470" s="11">
        <f t="shared" si="4"/>
        <v>78.87</v>
      </c>
      <c r="H470" s="10">
        <f t="shared" si="5"/>
        <v>137.474</v>
      </c>
      <c r="I470" s="10">
        <f t="shared" si="6"/>
        <v>12.47</v>
      </c>
      <c r="J470" s="12">
        <f t="shared" si="7"/>
        <v>15.811</v>
      </c>
      <c r="K470" s="13">
        <f t="shared" si="8"/>
        <v>0.902</v>
      </c>
      <c r="L470" s="10">
        <f t="shared" si="9"/>
        <v>0.155</v>
      </c>
      <c r="M470" s="10">
        <f t="shared" si="10"/>
        <v>0.01406429494</v>
      </c>
      <c r="N470" s="14">
        <f t="shared" si="11"/>
        <v>1.56</v>
      </c>
      <c r="O470" s="9">
        <f t="shared" si="12"/>
        <v>539</v>
      </c>
      <c r="P470" s="9">
        <f t="shared" si="13"/>
        <v>87.01</v>
      </c>
    </row>
    <row r="471">
      <c r="A471" s="8">
        <v>470.0</v>
      </c>
      <c r="B471" s="8">
        <v>0.003</v>
      </c>
      <c r="C471" s="8">
        <v>0.215</v>
      </c>
      <c r="D471" s="9">
        <f t="shared" si="1"/>
        <v>61.8</v>
      </c>
      <c r="E471" s="9">
        <f t="shared" si="2"/>
        <v>0.82</v>
      </c>
      <c r="F471" s="10">
        <f t="shared" si="3"/>
        <v>1.965034989</v>
      </c>
      <c r="G471" s="11">
        <f t="shared" si="4"/>
        <v>78.84</v>
      </c>
      <c r="H471" s="10">
        <f t="shared" si="5"/>
        <v>137.33</v>
      </c>
      <c r="I471" s="10">
        <f t="shared" si="6"/>
        <v>12.45</v>
      </c>
      <c r="J471" s="12">
        <f t="shared" si="7"/>
        <v>15.791</v>
      </c>
      <c r="K471" s="13">
        <f t="shared" si="8"/>
        <v>0.902</v>
      </c>
      <c r="L471" s="10">
        <f t="shared" si="9"/>
        <v>0.155</v>
      </c>
      <c r="M471" s="10">
        <f t="shared" si="10"/>
        <v>0.01404924729</v>
      </c>
      <c r="N471" s="14">
        <f t="shared" si="11"/>
        <v>1.56</v>
      </c>
      <c r="O471" s="9">
        <f t="shared" si="12"/>
        <v>539</v>
      </c>
      <c r="P471" s="9">
        <f t="shared" si="13"/>
        <v>87.2</v>
      </c>
    </row>
    <row r="472">
      <c r="A472" s="8">
        <v>471.0</v>
      </c>
      <c r="B472" s="15">
        <v>0.005</v>
      </c>
      <c r="C472" s="8">
        <v>0.301</v>
      </c>
      <c r="D472" s="9">
        <f t="shared" si="1"/>
        <v>79.79</v>
      </c>
      <c r="E472" s="16">
        <f t="shared" si="2"/>
        <v>0.69</v>
      </c>
      <c r="F472" s="10">
        <f t="shared" si="3"/>
        <v>1.965024172</v>
      </c>
      <c r="G472" s="11">
        <f t="shared" si="4"/>
        <v>78.84</v>
      </c>
      <c r="H472" s="10">
        <f t="shared" si="5"/>
        <v>137.184</v>
      </c>
      <c r="I472" s="10">
        <f t="shared" si="6"/>
        <v>12.42</v>
      </c>
      <c r="J472" s="12">
        <f t="shared" si="7"/>
        <v>15.753</v>
      </c>
      <c r="K472" s="13">
        <f t="shared" si="8"/>
        <v>0.902</v>
      </c>
      <c r="L472" s="10">
        <f t="shared" si="9"/>
        <v>0.155</v>
      </c>
      <c r="M472" s="10">
        <f t="shared" si="10"/>
        <v>0.01403424784</v>
      </c>
      <c r="N472" s="14">
        <f t="shared" si="11"/>
        <v>1.56</v>
      </c>
      <c r="O472" s="9">
        <f t="shared" si="12"/>
        <v>539</v>
      </c>
      <c r="P472" s="9">
        <f t="shared" si="13"/>
        <v>87.38</v>
      </c>
    </row>
    <row r="473">
      <c r="A473" s="8">
        <v>472.0</v>
      </c>
      <c r="B473" s="8">
        <v>0.003</v>
      </c>
      <c r="C473" s="8">
        <v>0.22</v>
      </c>
      <c r="D473" s="9">
        <f t="shared" si="1"/>
        <v>61.8</v>
      </c>
      <c r="E473" s="9">
        <f t="shared" si="2"/>
        <v>0.78</v>
      </c>
      <c r="F473" s="10">
        <f t="shared" si="3"/>
        <v>1.965013401</v>
      </c>
      <c r="G473" s="11">
        <f t="shared" si="4"/>
        <v>78.8</v>
      </c>
      <c r="H473" s="10">
        <f t="shared" si="5"/>
        <v>137.04</v>
      </c>
      <c r="I473" s="10">
        <f t="shared" si="6"/>
        <v>12.39</v>
      </c>
      <c r="J473" s="12">
        <f t="shared" si="7"/>
        <v>15.723</v>
      </c>
      <c r="K473" s="13">
        <f t="shared" si="8"/>
        <v>0.901</v>
      </c>
      <c r="L473" s="10">
        <f t="shared" si="9"/>
        <v>0.155</v>
      </c>
      <c r="M473" s="10">
        <f t="shared" si="10"/>
        <v>0.01401929632</v>
      </c>
      <c r="N473" s="14">
        <f t="shared" si="11"/>
        <v>1.56</v>
      </c>
      <c r="O473" s="9">
        <f t="shared" si="12"/>
        <v>539</v>
      </c>
      <c r="P473" s="9">
        <f t="shared" si="13"/>
        <v>87.57</v>
      </c>
    </row>
    <row r="474">
      <c r="A474" s="8">
        <v>473.0</v>
      </c>
      <c r="B474" s="15">
        <v>3.31E-4</v>
      </c>
      <c r="C474" s="8">
        <v>0.064</v>
      </c>
      <c r="D474" s="9">
        <f t="shared" si="1"/>
        <v>20.53</v>
      </c>
      <c r="E474" s="16">
        <f t="shared" si="2"/>
        <v>1.02</v>
      </c>
      <c r="F474" s="10">
        <f t="shared" si="3"/>
        <v>1.965002676</v>
      </c>
      <c r="G474" s="11">
        <f t="shared" si="4"/>
        <v>78.68</v>
      </c>
      <c r="H474" s="10">
        <f t="shared" si="5"/>
        <v>136.921</v>
      </c>
      <c r="I474" s="10">
        <f t="shared" si="6"/>
        <v>12.37</v>
      </c>
      <c r="J474" s="12">
        <f t="shared" si="7"/>
        <v>15.722</v>
      </c>
      <c r="K474" s="13">
        <f t="shared" si="8"/>
        <v>0.902</v>
      </c>
      <c r="L474" s="10">
        <f t="shared" si="9"/>
        <v>0.155</v>
      </c>
      <c r="M474" s="10">
        <f t="shared" si="10"/>
        <v>0.0140043925</v>
      </c>
      <c r="N474" s="14">
        <f t="shared" si="11"/>
        <v>1.55</v>
      </c>
      <c r="O474" s="9">
        <f t="shared" si="12"/>
        <v>539</v>
      </c>
      <c r="P474" s="9">
        <f t="shared" si="13"/>
        <v>87.76</v>
      </c>
    </row>
    <row r="475">
      <c r="A475" s="8">
        <v>474.0</v>
      </c>
      <c r="B475" s="15">
        <v>0.017</v>
      </c>
      <c r="C475" s="8">
        <v>0.72</v>
      </c>
      <c r="D475" s="9">
        <f t="shared" si="1"/>
        <v>147.12</v>
      </c>
      <c r="E475" s="16">
        <f t="shared" si="2"/>
        <v>0.41</v>
      </c>
      <c r="F475" s="10">
        <f t="shared" si="3"/>
        <v>1.964991997</v>
      </c>
      <c r="G475" s="11">
        <f t="shared" si="4"/>
        <v>78.82</v>
      </c>
      <c r="H475" s="10">
        <f t="shared" si="5"/>
        <v>136.812</v>
      </c>
      <c r="I475" s="10">
        <f t="shared" si="6"/>
        <v>12.35</v>
      </c>
      <c r="J475" s="12">
        <f t="shared" si="7"/>
        <v>15.669</v>
      </c>
      <c r="K475" s="13">
        <f t="shared" si="8"/>
        <v>0.901</v>
      </c>
      <c r="L475" s="10">
        <f t="shared" si="9"/>
        <v>0.157</v>
      </c>
      <c r="M475" s="10">
        <f t="shared" si="10"/>
        <v>0.01417004624</v>
      </c>
      <c r="N475" s="14">
        <f t="shared" si="11"/>
        <v>1.57</v>
      </c>
      <c r="O475" s="9">
        <f t="shared" si="12"/>
        <v>539</v>
      </c>
      <c r="P475" s="9">
        <f t="shared" si="13"/>
        <v>87.94</v>
      </c>
    </row>
    <row r="476">
      <c r="A476" s="8">
        <v>475.0</v>
      </c>
      <c r="B476" s="15">
        <v>0.002</v>
      </c>
      <c r="C476" s="8">
        <v>0.184</v>
      </c>
      <c r="D476" s="9">
        <f t="shared" si="1"/>
        <v>50.46</v>
      </c>
      <c r="E476" s="16">
        <f t="shared" si="2"/>
        <v>0.74</v>
      </c>
      <c r="F476" s="10">
        <f t="shared" si="3"/>
        <v>1.964981363</v>
      </c>
      <c r="G476" s="11">
        <f t="shared" si="4"/>
        <v>78.76</v>
      </c>
      <c r="H476" s="10">
        <f t="shared" si="5"/>
        <v>136.674</v>
      </c>
      <c r="I476" s="10">
        <f t="shared" si="6"/>
        <v>12.32</v>
      </c>
      <c r="J476" s="12">
        <f t="shared" si="7"/>
        <v>15.642</v>
      </c>
      <c r="K476" s="13">
        <f t="shared" si="8"/>
        <v>0.9</v>
      </c>
      <c r="L476" s="10">
        <f t="shared" si="9"/>
        <v>0.157</v>
      </c>
      <c r="M476" s="10">
        <f t="shared" si="10"/>
        <v>0.01415504594</v>
      </c>
      <c r="N476" s="14">
        <f t="shared" si="11"/>
        <v>1.57</v>
      </c>
      <c r="O476" s="9">
        <f t="shared" si="12"/>
        <v>539</v>
      </c>
      <c r="P476" s="9">
        <f t="shared" si="13"/>
        <v>88.13</v>
      </c>
    </row>
    <row r="477">
      <c r="A477" s="8">
        <v>476.0</v>
      </c>
      <c r="B477" s="15">
        <v>0.003</v>
      </c>
      <c r="C477" s="8">
        <v>0.22</v>
      </c>
      <c r="D477" s="9">
        <f t="shared" si="1"/>
        <v>61.8</v>
      </c>
      <c r="E477" s="16">
        <f t="shared" si="2"/>
        <v>0.78</v>
      </c>
      <c r="F477" s="10">
        <f t="shared" si="3"/>
        <v>1.964970773</v>
      </c>
      <c r="G477" s="11">
        <f t="shared" si="4"/>
        <v>78.73</v>
      </c>
      <c r="H477" s="10">
        <f t="shared" si="5"/>
        <v>136.533</v>
      </c>
      <c r="I477" s="10">
        <f t="shared" si="6"/>
        <v>12.3</v>
      </c>
      <c r="J477" s="12">
        <f t="shared" si="7"/>
        <v>15.623</v>
      </c>
      <c r="K477" s="13">
        <f t="shared" si="8"/>
        <v>0.9</v>
      </c>
      <c r="L477" s="10">
        <f t="shared" si="9"/>
        <v>0.157</v>
      </c>
      <c r="M477" s="10">
        <f t="shared" si="10"/>
        <v>0.01414009317</v>
      </c>
      <c r="N477" s="14">
        <f t="shared" si="11"/>
        <v>1.57</v>
      </c>
      <c r="O477" s="9">
        <f t="shared" si="12"/>
        <v>539</v>
      </c>
      <c r="P477" s="9">
        <f t="shared" si="13"/>
        <v>88.31</v>
      </c>
    </row>
    <row r="478">
      <c r="A478" s="8">
        <v>477.0</v>
      </c>
      <c r="B478" s="15">
        <v>0.004</v>
      </c>
      <c r="C478" s="8">
        <v>0.233</v>
      </c>
      <c r="D478" s="9">
        <f t="shared" si="1"/>
        <v>71.36</v>
      </c>
      <c r="E478" s="16">
        <f t="shared" si="2"/>
        <v>0.93</v>
      </c>
      <c r="F478" s="10">
        <f t="shared" si="3"/>
        <v>1.964960229</v>
      </c>
      <c r="G478" s="11">
        <f t="shared" si="4"/>
        <v>78.71</v>
      </c>
      <c r="H478" s="10">
        <f t="shared" si="5"/>
        <v>136.389</v>
      </c>
      <c r="I478" s="10">
        <f t="shared" si="6"/>
        <v>12.27</v>
      </c>
      <c r="J478" s="12">
        <f t="shared" si="7"/>
        <v>15.589</v>
      </c>
      <c r="K478" s="13">
        <f t="shared" si="8"/>
        <v>0.9</v>
      </c>
      <c r="L478" s="10">
        <f t="shared" si="9"/>
        <v>0.157</v>
      </c>
      <c r="M478" s="10">
        <f t="shared" si="10"/>
        <v>0.0141251877</v>
      </c>
      <c r="N478" s="14">
        <f t="shared" si="11"/>
        <v>1.57</v>
      </c>
      <c r="O478" s="9">
        <f t="shared" si="12"/>
        <v>539</v>
      </c>
      <c r="P478" s="9">
        <f t="shared" si="13"/>
        <v>88.5</v>
      </c>
    </row>
    <row r="479">
      <c r="A479" s="8">
        <v>478.0</v>
      </c>
      <c r="B479" s="15">
        <v>0.003</v>
      </c>
      <c r="C479" s="8">
        <v>0.212</v>
      </c>
      <c r="D479" s="9">
        <f t="shared" si="1"/>
        <v>61.8</v>
      </c>
      <c r="E479" s="16">
        <f t="shared" si="2"/>
        <v>0.84</v>
      </c>
      <c r="F479" s="10">
        <f t="shared" si="3"/>
        <v>1.964949728</v>
      </c>
      <c r="G479" s="11">
        <f t="shared" si="4"/>
        <v>78.68</v>
      </c>
      <c r="H479" s="10">
        <f t="shared" si="5"/>
        <v>136.249</v>
      </c>
      <c r="I479" s="10">
        <f t="shared" si="6"/>
        <v>12.25</v>
      </c>
      <c r="J479" s="12">
        <f t="shared" si="7"/>
        <v>15.569</v>
      </c>
      <c r="K479" s="13">
        <f t="shared" si="8"/>
        <v>0.9</v>
      </c>
      <c r="L479" s="10">
        <f t="shared" si="9"/>
        <v>0.156</v>
      </c>
      <c r="M479" s="10">
        <f t="shared" si="10"/>
        <v>0.01402045455</v>
      </c>
      <c r="N479" s="14">
        <f t="shared" si="11"/>
        <v>1.56</v>
      </c>
      <c r="O479" s="9">
        <f t="shared" si="12"/>
        <v>539</v>
      </c>
      <c r="P479" s="9">
        <f t="shared" si="13"/>
        <v>88.68</v>
      </c>
    </row>
    <row r="480">
      <c r="A480" s="8">
        <v>479.0</v>
      </c>
      <c r="B480" s="15">
        <v>3.183E-4</v>
      </c>
      <c r="C480" s="8">
        <v>0.062</v>
      </c>
      <c r="D480" s="9">
        <f t="shared" si="1"/>
        <v>20.13</v>
      </c>
      <c r="E480" s="16">
        <f t="shared" si="2"/>
        <v>1.04</v>
      </c>
      <c r="F480" s="10">
        <f t="shared" si="3"/>
        <v>1.964939272</v>
      </c>
      <c r="G480" s="11">
        <f t="shared" si="4"/>
        <v>78.55</v>
      </c>
      <c r="H480" s="10">
        <f t="shared" si="5"/>
        <v>136.132</v>
      </c>
      <c r="I480" s="10">
        <f t="shared" si="6"/>
        <v>12.22</v>
      </c>
      <c r="J480" s="12">
        <f t="shared" si="7"/>
        <v>15.557</v>
      </c>
      <c r="K480" s="13">
        <f t="shared" si="8"/>
        <v>0.9</v>
      </c>
      <c r="L480" s="10">
        <f t="shared" si="9"/>
        <v>0.156</v>
      </c>
      <c r="M480" s="10">
        <f t="shared" si="10"/>
        <v>0.01400573724</v>
      </c>
      <c r="N480" s="14">
        <f t="shared" si="11"/>
        <v>1.56</v>
      </c>
      <c r="O480" s="9">
        <f t="shared" si="12"/>
        <v>539</v>
      </c>
      <c r="P480" s="9">
        <f t="shared" si="13"/>
        <v>88.87</v>
      </c>
    </row>
    <row r="481">
      <c r="A481" s="8">
        <v>480.0</v>
      </c>
      <c r="B481" s="15">
        <v>0.005</v>
      </c>
      <c r="C481" s="8">
        <v>0.267</v>
      </c>
      <c r="D481" s="9">
        <f t="shared" si="1"/>
        <v>79.79</v>
      </c>
      <c r="E481" s="16">
        <f t="shared" si="2"/>
        <v>0.88</v>
      </c>
      <c r="F481" s="10">
        <f t="shared" si="3"/>
        <v>1.964928859</v>
      </c>
      <c r="G481" s="11">
        <f t="shared" si="4"/>
        <v>78.56</v>
      </c>
      <c r="H481" s="10">
        <f t="shared" si="5"/>
        <v>135.99</v>
      </c>
      <c r="I481" s="10">
        <f t="shared" si="6"/>
        <v>12.2</v>
      </c>
      <c r="J481" s="12">
        <f t="shared" si="7"/>
        <v>15.53</v>
      </c>
      <c r="K481" s="13">
        <f t="shared" si="8"/>
        <v>0.9</v>
      </c>
      <c r="L481" s="10">
        <f t="shared" si="9"/>
        <v>0.156</v>
      </c>
      <c r="M481" s="10">
        <f t="shared" si="10"/>
        <v>0.01399106618</v>
      </c>
      <c r="N481" s="14">
        <f t="shared" si="11"/>
        <v>1.55</v>
      </c>
      <c r="O481" s="9">
        <f t="shared" si="12"/>
        <v>539</v>
      </c>
      <c r="P481" s="9">
        <f t="shared" si="13"/>
        <v>89.05</v>
      </c>
    </row>
    <row r="482">
      <c r="A482" s="8">
        <v>481.0</v>
      </c>
      <c r="B482" s="15">
        <v>5.729E-5</v>
      </c>
      <c r="C482" s="8">
        <v>0.024</v>
      </c>
      <c r="D482" s="9">
        <f t="shared" si="1"/>
        <v>8.54</v>
      </c>
      <c r="E482" s="16">
        <f t="shared" si="2"/>
        <v>1.25</v>
      </c>
      <c r="F482" s="10">
        <f t="shared" si="3"/>
        <v>1.96491849</v>
      </c>
      <c r="G482" s="11">
        <f t="shared" si="4"/>
        <v>78.41</v>
      </c>
      <c r="H482" s="10">
        <f t="shared" si="5"/>
        <v>135.886</v>
      </c>
      <c r="I482" s="10">
        <f t="shared" si="6"/>
        <v>12.17</v>
      </c>
      <c r="J482" s="12">
        <f t="shared" si="7"/>
        <v>15.521</v>
      </c>
      <c r="K482" s="13">
        <f t="shared" si="8"/>
        <v>0.901</v>
      </c>
      <c r="L482" s="10">
        <f t="shared" si="9"/>
        <v>0.157</v>
      </c>
      <c r="M482" s="10">
        <f t="shared" si="10"/>
        <v>0.0140660337</v>
      </c>
      <c r="N482" s="14">
        <f t="shared" si="11"/>
        <v>1.56</v>
      </c>
      <c r="O482" s="9">
        <f t="shared" si="12"/>
        <v>539</v>
      </c>
      <c r="P482" s="9">
        <f t="shared" si="13"/>
        <v>89.24</v>
      </c>
    </row>
    <row r="483">
      <c r="A483" s="8">
        <v>482.0</v>
      </c>
      <c r="B483" s="15">
        <v>0.005</v>
      </c>
      <c r="C483" s="8">
        <v>0.251</v>
      </c>
      <c r="D483" s="9">
        <f t="shared" si="1"/>
        <v>79.79</v>
      </c>
      <c r="E483" s="16">
        <f t="shared" si="2"/>
        <v>1</v>
      </c>
      <c r="F483" s="10">
        <f t="shared" si="3"/>
        <v>1.964908164</v>
      </c>
      <c r="G483" s="11">
        <f t="shared" si="4"/>
        <v>78.41</v>
      </c>
      <c r="H483" s="10">
        <f t="shared" si="5"/>
        <v>135.745</v>
      </c>
      <c r="I483" s="10">
        <f t="shared" si="6"/>
        <v>12.15</v>
      </c>
      <c r="J483" s="12">
        <f t="shared" si="7"/>
        <v>15.495</v>
      </c>
      <c r="K483" s="13">
        <f t="shared" si="8"/>
        <v>0.901</v>
      </c>
      <c r="L483" s="10">
        <f t="shared" si="9"/>
        <v>0.157</v>
      </c>
      <c r="M483" s="10">
        <f t="shared" si="10"/>
        <v>0.01405136096</v>
      </c>
      <c r="N483" s="14">
        <f t="shared" si="11"/>
        <v>1.56</v>
      </c>
      <c r="O483" s="9">
        <f t="shared" si="12"/>
        <v>539</v>
      </c>
      <c r="P483" s="9">
        <f t="shared" si="13"/>
        <v>89.42</v>
      </c>
    </row>
    <row r="484">
      <c r="A484" s="8">
        <v>483.0</v>
      </c>
      <c r="B484" s="15">
        <v>0.229</v>
      </c>
      <c r="C484" s="8">
        <v>2.236</v>
      </c>
      <c r="D484" s="9">
        <f t="shared" si="1"/>
        <v>539.97</v>
      </c>
      <c r="E484" s="16">
        <f t="shared" si="2"/>
        <v>0.58</v>
      </c>
      <c r="F484" s="10">
        <f t="shared" si="3"/>
        <v>1.964897881</v>
      </c>
      <c r="G484" s="11">
        <f t="shared" si="4"/>
        <v>79.37</v>
      </c>
      <c r="H484" s="10">
        <f t="shared" si="5"/>
        <v>137.22</v>
      </c>
      <c r="I484" s="10">
        <f t="shared" si="6"/>
        <v>12.27</v>
      </c>
      <c r="J484" s="12">
        <f t="shared" si="7"/>
        <v>15.459</v>
      </c>
      <c r="K484" s="13">
        <f t="shared" si="8"/>
        <v>0.9</v>
      </c>
      <c r="L484" s="10">
        <f t="shared" si="9"/>
        <v>0.157</v>
      </c>
      <c r="M484" s="10">
        <f t="shared" si="10"/>
        <v>0.01403673404</v>
      </c>
      <c r="N484" s="14">
        <f t="shared" si="11"/>
        <v>1.56</v>
      </c>
      <c r="O484" s="9">
        <f t="shared" si="12"/>
        <v>539</v>
      </c>
      <c r="P484" s="9">
        <f t="shared" si="13"/>
        <v>89.61</v>
      </c>
    </row>
    <row r="485">
      <c r="A485" s="8">
        <v>484.0</v>
      </c>
      <c r="B485" s="15">
        <v>0.004</v>
      </c>
      <c r="C485" s="8">
        <v>0.24</v>
      </c>
      <c r="D485" s="9">
        <f t="shared" si="1"/>
        <v>71.36</v>
      </c>
      <c r="E485" s="16">
        <f t="shared" si="2"/>
        <v>0.87</v>
      </c>
      <c r="F485" s="10">
        <f t="shared" si="3"/>
        <v>1.964887641</v>
      </c>
      <c r="G485" s="11">
        <f t="shared" si="4"/>
        <v>79.35</v>
      </c>
      <c r="H485" s="10">
        <f t="shared" si="5"/>
        <v>137.079</v>
      </c>
      <c r="I485" s="10">
        <f t="shared" si="6"/>
        <v>12.24</v>
      </c>
      <c r="J485" s="12">
        <f t="shared" si="7"/>
        <v>15.425</v>
      </c>
      <c r="K485" s="13">
        <f t="shared" si="8"/>
        <v>0.9</v>
      </c>
      <c r="L485" s="10">
        <f t="shared" si="9"/>
        <v>0.157</v>
      </c>
      <c r="M485" s="10">
        <f t="shared" si="10"/>
        <v>0.01402215271</v>
      </c>
      <c r="N485" s="14">
        <f t="shared" si="11"/>
        <v>1.56</v>
      </c>
      <c r="O485" s="9">
        <f t="shared" si="12"/>
        <v>539</v>
      </c>
      <c r="P485" s="9">
        <f t="shared" si="13"/>
        <v>89.8</v>
      </c>
    </row>
    <row r="486">
      <c r="A486" s="8">
        <v>485.0</v>
      </c>
      <c r="B486" s="15">
        <v>0.001</v>
      </c>
      <c r="C486" s="8">
        <v>0.13</v>
      </c>
      <c r="D486" s="9">
        <f t="shared" si="1"/>
        <v>35.68</v>
      </c>
      <c r="E486" s="16">
        <f t="shared" si="2"/>
        <v>0.74</v>
      </c>
      <c r="F486" s="10">
        <f t="shared" si="3"/>
        <v>1.964877443</v>
      </c>
      <c r="G486" s="11">
        <f t="shared" si="4"/>
        <v>79.26</v>
      </c>
      <c r="H486" s="10">
        <f t="shared" si="5"/>
        <v>136.951</v>
      </c>
      <c r="I486" s="10">
        <f t="shared" si="6"/>
        <v>12.22</v>
      </c>
      <c r="J486" s="12">
        <f t="shared" si="7"/>
        <v>15.418</v>
      </c>
      <c r="K486" s="13">
        <f t="shared" si="8"/>
        <v>0.9</v>
      </c>
      <c r="L486" s="10">
        <f t="shared" si="9"/>
        <v>0.157</v>
      </c>
      <c r="M486" s="10">
        <f t="shared" si="10"/>
        <v>0.01400761672</v>
      </c>
      <c r="N486" s="14">
        <f t="shared" si="11"/>
        <v>1.56</v>
      </c>
      <c r="O486" s="9">
        <f t="shared" si="12"/>
        <v>539</v>
      </c>
      <c r="P486" s="9">
        <f t="shared" si="13"/>
        <v>89.98</v>
      </c>
    </row>
    <row r="487">
      <c r="A487" s="8">
        <v>486.0</v>
      </c>
      <c r="B487" s="15">
        <v>9.548E-4</v>
      </c>
      <c r="C487" s="8">
        <v>0.112</v>
      </c>
      <c r="D487" s="9">
        <f t="shared" si="1"/>
        <v>34.87</v>
      </c>
      <c r="E487" s="16">
        <f t="shared" si="2"/>
        <v>0.96</v>
      </c>
      <c r="F487" s="10">
        <f t="shared" si="3"/>
        <v>1.964867287</v>
      </c>
      <c r="G487" s="11">
        <f t="shared" si="4"/>
        <v>79.17</v>
      </c>
      <c r="H487" s="10">
        <f t="shared" si="5"/>
        <v>136.825</v>
      </c>
      <c r="I487" s="10">
        <f t="shared" si="6"/>
        <v>12.19</v>
      </c>
      <c r="J487" s="12">
        <f t="shared" si="7"/>
        <v>15.397</v>
      </c>
      <c r="K487" s="13">
        <f t="shared" si="8"/>
        <v>0.9</v>
      </c>
      <c r="L487" s="10">
        <f t="shared" si="9"/>
        <v>0.157</v>
      </c>
      <c r="M487" s="10">
        <f t="shared" si="10"/>
        <v>0.01399312585</v>
      </c>
      <c r="N487" s="14">
        <f t="shared" si="11"/>
        <v>1.55</v>
      </c>
      <c r="O487" s="9">
        <f t="shared" si="12"/>
        <v>539</v>
      </c>
      <c r="P487" s="9">
        <f t="shared" si="13"/>
        <v>90.17</v>
      </c>
    </row>
    <row r="488">
      <c r="A488" s="8">
        <v>487.0</v>
      </c>
      <c r="B488" s="15">
        <v>6.302E-4</v>
      </c>
      <c r="C488" s="8">
        <v>0.09</v>
      </c>
      <c r="D488" s="9">
        <f t="shared" si="1"/>
        <v>28.33</v>
      </c>
      <c r="E488" s="16">
        <f t="shared" si="2"/>
        <v>0.98</v>
      </c>
      <c r="F488" s="10">
        <f t="shared" si="3"/>
        <v>1.964857173</v>
      </c>
      <c r="G488" s="11">
        <f t="shared" si="4"/>
        <v>79.07</v>
      </c>
      <c r="H488" s="10">
        <f t="shared" si="5"/>
        <v>136.704</v>
      </c>
      <c r="I488" s="10">
        <f t="shared" si="6"/>
        <v>12.17</v>
      </c>
      <c r="J488" s="12">
        <f t="shared" si="7"/>
        <v>15.391</v>
      </c>
      <c r="K488" s="13">
        <f t="shared" si="8"/>
        <v>0.9</v>
      </c>
      <c r="L488" s="10">
        <f t="shared" si="9"/>
        <v>0.157</v>
      </c>
      <c r="M488" s="10">
        <f t="shared" si="10"/>
        <v>0.01397867985</v>
      </c>
      <c r="N488" s="14">
        <f t="shared" si="11"/>
        <v>1.55</v>
      </c>
      <c r="O488" s="9">
        <f t="shared" si="12"/>
        <v>539</v>
      </c>
      <c r="P488" s="9">
        <f t="shared" si="13"/>
        <v>90.35</v>
      </c>
    </row>
    <row r="489">
      <c r="A489" s="8">
        <v>488.0</v>
      </c>
      <c r="B489" s="15">
        <v>3.183E-4</v>
      </c>
      <c r="C489" s="8">
        <v>0.062</v>
      </c>
      <c r="D489" s="9">
        <f t="shared" si="1"/>
        <v>20.13</v>
      </c>
      <c r="E489" s="16">
        <f t="shared" si="2"/>
        <v>1.04</v>
      </c>
      <c r="F489" s="10">
        <f t="shared" si="3"/>
        <v>1.964847101</v>
      </c>
      <c r="G489" s="11">
        <f t="shared" si="4"/>
        <v>78.95</v>
      </c>
      <c r="H489" s="10">
        <f t="shared" si="5"/>
        <v>136.589</v>
      </c>
      <c r="I489" s="10">
        <f t="shared" si="6"/>
        <v>12.15</v>
      </c>
      <c r="J489" s="12">
        <f t="shared" si="7"/>
        <v>15.389</v>
      </c>
      <c r="K489" s="13">
        <f t="shared" si="8"/>
        <v>0.901</v>
      </c>
      <c r="L489" s="10">
        <f t="shared" si="9"/>
        <v>0.157</v>
      </c>
      <c r="M489" s="10">
        <f t="shared" si="10"/>
        <v>0.0139642785</v>
      </c>
      <c r="N489" s="14">
        <f t="shared" si="11"/>
        <v>1.55</v>
      </c>
      <c r="O489" s="9">
        <f t="shared" si="12"/>
        <v>539</v>
      </c>
      <c r="P489" s="9">
        <f t="shared" si="13"/>
        <v>90.54</v>
      </c>
    </row>
    <row r="490">
      <c r="A490" s="8">
        <v>489.0</v>
      </c>
      <c r="B490" s="15">
        <v>0.011</v>
      </c>
      <c r="C490" s="8">
        <v>0.392</v>
      </c>
      <c r="D490" s="9">
        <f t="shared" si="1"/>
        <v>118.35</v>
      </c>
      <c r="E490" s="16">
        <f t="shared" si="2"/>
        <v>0.9</v>
      </c>
      <c r="F490" s="10">
        <f t="shared" si="3"/>
        <v>1.96483707</v>
      </c>
      <c r="G490" s="11">
        <f t="shared" si="4"/>
        <v>79.03</v>
      </c>
      <c r="H490" s="10">
        <f t="shared" si="5"/>
        <v>136.461</v>
      </c>
      <c r="I490" s="10">
        <f t="shared" si="6"/>
        <v>12.12</v>
      </c>
      <c r="J490" s="12">
        <f t="shared" si="7"/>
        <v>15.336</v>
      </c>
      <c r="K490" s="13">
        <f t="shared" si="8"/>
        <v>0.901</v>
      </c>
      <c r="L490" s="10">
        <f t="shared" si="9"/>
        <v>0.157</v>
      </c>
      <c r="M490" s="10">
        <f t="shared" si="10"/>
        <v>0.01394992158</v>
      </c>
      <c r="N490" s="14">
        <f t="shared" si="11"/>
        <v>1.55</v>
      </c>
      <c r="O490" s="9">
        <f t="shared" si="12"/>
        <v>539</v>
      </c>
      <c r="P490" s="9">
        <f t="shared" si="13"/>
        <v>90.72</v>
      </c>
    </row>
    <row r="491">
      <c r="A491" s="8">
        <v>490.0</v>
      </c>
      <c r="B491" s="15">
        <v>3.183E-4</v>
      </c>
      <c r="C491" s="8">
        <v>0.063</v>
      </c>
      <c r="D491" s="9">
        <f t="shared" si="1"/>
        <v>20.13</v>
      </c>
      <c r="E491" s="16">
        <f t="shared" si="2"/>
        <v>1.01</v>
      </c>
      <c r="F491" s="10">
        <f t="shared" si="3"/>
        <v>1.96482708</v>
      </c>
      <c r="G491" s="11">
        <f t="shared" si="4"/>
        <v>78.91</v>
      </c>
      <c r="H491" s="10">
        <f t="shared" si="5"/>
        <v>136.347</v>
      </c>
      <c r="I491" s="10">
        <f t="shared" si="6"/>
        <v>12.1</v>
      </c>
      <c r="J491" s="12">
        <f t="shared" si="7"/>
        <v>15.334</v>
      </c>
      <c r="K491" s="13">
        <f t="shared" si="8"/>
        <v>0.901</v>
      </c>
      <c r="L491" s="10">
        <f t="shared" si="9"/>
        <v>0.157</v>
      </c>
      <c r="M491" s="10">
        <f t="shared" si="10"/>
        <v>0.01393560884</v>
      </c>
      <c r="N491" s="14">
        <f t="shared" si="11"/>
        <v>1.55</v>
      </c>
      <c r="O491" s="9">
        <f t="shared" si="12"/>
        <v>539</v>
      </c>
      <c r="P491" s="9">
        <f t="shared" si="13"/>
        <v>90.91</v>
      </c>
    </row>
    <row r="492">
      <c r="A492" s="8">
        <v>491.0</v>
      </c>
      <c r="B492" s="15">
        <v>0.056</v>
      </c>
      <c r="C492" s="8">
        <v>0.929</v>
      </c>
      <c r="D492" s="9">
        <f t="shared" si="1"/>
        <v>267.02</v>
      </c>
      <c r="E492" s="16">
        <f t="shared" si="2"/>
        <v>0.82</v>
      </c>
      <c r="F492" s="10">
        <f t="shared" si="3"/>
        <v>1.964817132</v>
      </c>
      <c r="G492" s="11">
        <f t="shared" si="4"/>
        <v>79.29</v>
      </c>
      <c r="H492" s="10">
        <f t="shared" si="5"/>
        <v>136.472</v>
      </c>
      <c r="I492" s="10">
        <f t="shared" si="6"/>
        <v>12.1</v>
      </c>
      <c r="J492" s="12">
        <f t="shared" si="7"/>
        <v>15.26</v>
      </c>
      <c r="K492" s="13">
        <f t="shared" si="8"/>
        <v>0.901</v>
      </c>
      <c r="L492" s="10">
        <f t="shared" si="9"/>
        <v>0.157</v>
      </c>
      <c r="M492" s="10">
        <f t="shared" si="10"/>
        <v>0.01392134007</v>
      </c>
      <c r="N492" s="14">
        <f t="shared" si="11"/>
        <v>1.55</v>
      </c>
      <c r="O492" s="9">
        <f t="shared" si="12"/>
        <v>539</v>
      </c>
      <c r="P492" s="9">
        <f t="shared" si="13"/>
        <v>91.09</v>
      </c>
    </row>
    <row r="493">
      <c r="A493" s="8">
        <v>492.0</v>
      </c>
      <c r="B493" s="15">
        <v>0.006</v>
      </c>
      <c r="C493" s="8">
        <v>0.273</v>
      </c>
      <c r="D493" s="9">
        <f t="shared" si="1"/>
        <v>87.4</v>
      </c>
      <c r="E493" s="16">
        <f t="shared" si="2"/>
        <v>1.01</v>
      </c>
      <c r="F493" s="10">
        <f t="shared" si="3"/>
        <v>1.964807223</v>
      </c>
      <c r="G493" s="11">
        <f t="shared" si="4"/>
        <v>79.31</v>
      </c>
      <c r="H493" s="10">
        <f t="shared" si="5"/>
        <v>136.334</v>
      </c>
      <c r="I493" s="10">
        <f t="shared" si="6"/>
        <v>12.08</v>
      </c>
      <c r="J493" s="12">
        <f t="shared" si="7"/>
        <v>15.231</v>
      </c>
      <c r="K493" s="13">
        <f t="shared" si="8"/>
        <v>0.901</v>
      </c>
      <c r="L493" s="10">
        <f t="shared" si="9"/>
        <v>0.156</v>
      </c>
      <c r="M493" s="10">
        <f t="shared" si="10"/>
        <v>0.01381853469</v>
      </c>
      <c r="N493" s="14">
        <f t="shared" si="11"/>
        <v>1.53</v>
      </c>
      <c r="O493" s="9">
        <f t="shared" si="12"/>
        <v>539</v>
      </c>
      <c r="P493" s="9">
        <f t="shared" si="13"/>
        <v>91.28</v>
      </c>
    </row>
    <row r="494">
      <c r="A494" s="8">
        <v>493.0</v>
      </c>
      <c r="B494" s="15">
        <v>0.002</v>
      </c>
      <c r="C494" s="8">
        <v>0.158</v>
      </c>
      <c r="D494" s="9">
        <f t="shared" si="1"/>
        <v>50.46</v>
      </c>
      <c r="E494" s="16">
        <f t="shared" si="2"/>
        <v>1.01</v>
      </c>
      <c r="F494" s="10">
        <f t="shared" si="3"/>
        <v>1.964797356</v>
      </c>
      <c r="G494" s="11">
        <f t="shared" si="4"/>
        <v>79.25</v>
      </c>
      <c r="H494" s="10">
        <f t="shared" si="5"/>
        <v>136.201</v>
      </c>
      <c r="I494" s="10">
        <f t="shared" si="6"/>
        <v>12.05</v>
      </c>
      <c r="J494" s="12">
        <f t="shared" si="7"/>
        <v>15.205</v>
      </c>
      <c r="K494" s="13">
        <f t="shared" si="8"/>
        <v>0.901</v>
      </c>
      <c r="L494" s="10">
        <f t="shared" si="9"/>
        <v>0.156</v>
      </c>
      <c r="M494" s="10">
        <f t="shared" si="10"/>
        <v>0.0138044435</v>
      </c>
      <c r="N494" s="14">
        <f t="shared" si="11"/>
        <v>1.53</v>
      </c>
      <c r="O494" s="9">
        <f t="shared" si="12"/>
        <v>539</v>
      </c>
      <c r="P494" s="9">
        <f t="shared" si="13"/>
        <v>91.47</v>
      </c>
    </row>
    <row r="495">
      <c r="A495" s="8">
        <v>494.0</v>
      </c>
      <c r="B495" s="15">
        <v>5.729E-5</v>
      </c>
      <c r="C495" s="8">
        <v>0.024</v>
      </c>
      <c r="D495" s="9">
        <f t="shared" si="1"/>
        <v>8.54</v>
      </c>
      <c r="E495" s="16">
        <f t="shared" si="2"/>
        <v>1.25</v>
      </c>
      <c r="F495" s="10">
        <f t="shared" si="3"/>
        <v>1.964787528</v>
      </c>
      <c r="G495" s="11">
        <f t="shared" si="4"/>
        <v>79.11</v>
      </c>
      <c r="H495" s="10">
        <f t="shared" si="5"/>
        <v>136.1</v>
      </c>
      <c r="I495" s="10">
        <f t="shared" si="6"/>
        <v>12.03</v>
      </c>
      <c r="J495" s="12">
        <f t="shared" si="7"/>
        <v>15.207</v>
      </c>
      <c r="K495" s="13">
        <f t="shared" si="8"/>
        <v>0.902</v>
      </c>
      <c r="L495" s="10">
        <f t="shared" si="9"/>
        <v>0.157</v>
      </c>
      <c r="M495" s="10">
        <f t="shared" si="10"/>
        <v>0.01387879531</v>
      </c>
      <c r="N495" s="14">
        <f t="shared" si="11"/>
        <v>1.54</v>
      </c>
      <c r="O495" s="9">
        <f t="shared" si="12"/>
        <v>539</v>
      </c>
      <c r="P495" s="9">
        <f t="shared" si="13"/>
        <v>91.65</v>
      </c>
    </row>
    <row r="496">
      <c r="A496" s="8">
        <v>495.0</v>
      </c>
      <c r="B496" s="15">
        <v>0.01</v>
      </c>
      <c r="C496" s="8">
        <v>0.427</v>
      </c>
      <c r="D496" s="9">
        <f t="shared" si="1"/>
        <v>112.84</v>
      </c>
      <c r="E496" s="16">
        <f t="shared" si="2"/>
        <v>0.69</v>
      </c>
      <c r="F496" s="10">
        <f t="shared" si="3"/>
        <v>1.96477774</v>
      </c>
      <c r="G496" s="11">
        <f t="shared" si="4"/>
        <v>79.17</v>
      </c>
      <c r="H496" s="10">
        <f t="shared" si="5"/>
        <v>135.971</v>
      </c>
      <c r="I496" s="10">
        <f t="shared" si="6"/>
        <v>12.01</v>
      </c>
      <c r="J496" s="12">
        <f t="shared" si="7"/>
        <v>15.17</v>
      </c>
      <c r="K496" s="13">
        <f t="shared" si="8"/>
        <v>0.901</v>
      </c>
      <c r="L496" s="10">
        <f t="shared" si="9"/>
        <v>0.157</v>
      </c>
      <c r="M496" s="10">
        <f t="shared" si="10"/>
        <v>0.01386470017</v>
      </c>
      <c r="N496" s="14">
        <f t="shared" si="11"/>
        <v>1.54</v>
      </c>
      <c r="O496" s="9">
        <f t="shared" si="12"/>
        <v>539</v>
      </c>
      <c r="P496" s="9">
        <f t="shared" si="13"/>
        <v>91.84</v>
      </c>
    </row>
    <row r="497">
      <c r="A497" s="8">
        <v>496.0</v>
      </c>
      <c r="B497" s="15">
        <v>0.002</v>
      </c>
      <c r="C497" s="8">
        <v>0.148</v>
      </c>
      <c r="D497" s="9">
        <f t="shared" si="1"/>
        <v>50.46</v>
      </c>
      <c r="E497" s="16">
        <f t="shared" si="2"/>
        <v>1.15</v>
      </c>
      <c r="F497" s="10">
        <f t="shared" si="3"/>
        <v>1.964767992</v>
      </c>
      <c r="G497" s="11">
        <f t="shared" si="4"/>
        <v>79.12</v>
      </c>
      <c r="H497" s="10">
        <f t="shared" si="5"/>
        <v>135.84</v>
      </c>
      <c r="I497" s="10">
        <f t="shared" si="6"/>
        <v>11.98</v>
      </c>
      <c r="J497" s="12">
        <f t="shared" si="7"/>
        <v>15.142</v>
      </c>
      <c r="K497" s="13">
        <f t="shared" si="8"/>
        <v>0.902</v>
      </c>
      <c r="L497" s="10">
        <f t="shared" si="9"/>
        <v>0.157</v>
      </c>
      <c r="M497" s="10">
        <f t="shared" si="10"/>
        <v>0.01385064788</v>
      </c>
      <c r="N497" s="14">
        <f t="shared" si="11"/>
        <v>1.54</v>
      </c>
      <c r="O497" s="9">
        <f t="shared" si="12"/>
        <v>539</v>
      </c>
      <c r="P497" s="9">
        <f t="shared" si="13"/>
        <v>92.02</v>
      </c>
    </row>
    <row r="498">
      <c r="A498" s="8">
        <v>497.0</v>
      </c>
      <c r="B498" s="8">
        <v>0.006</v>
      </c>
      <c r="C498" s="8">
        <v>0.28</v>
      </c>
      <c r="D498" s="9">
        <f t="shared" si="1"/>
        <v>87.4</v>
      </c>
      <c r="E498" s="9">
        <f t="shared" si="2"/>
        <v>0.96</v>
      </c>
      <c r="F498" s="10">
        <f t="shared" si="3"/>
        <v>1.964758283</v>
      </c>
      <c r="G498" s="11">
        <f t="shared" si="4"/>
        <v>79.13</v>
      </c>
      <c r="H498" s="10">
        <f t="shared" si="5"/>
        <v>135.703</v>
      </c>
      <c r="I498" s="10">
        <f t="shared" si="6"/>
        <v>11.96</v>
      </c>
      <c r="J498" s="12">
        <f t="shared" si="7"/>
        <v>15.114</v>
      </c>
      <c r="K498" s="13">
        <f t="shared" si="8"/>
        <v>0.902</v>
      </c>
      <c r="L498" s="10">
        <f t="shared" si="9"/>
        <v>0.157</v>
      </c>
      <c r="M498" s="10">
        <f t="shared" si="10"/>
        <v>0.01383663824</v>
      </c>
      <c r="N498" s="14">
        <f t="shared" si="11"/>
        <v>1.53</v>
      </c>
      <c r="O498" s="9">
        <f t="shared" si="12"/>
        <v>539</v>
      </c>
      <c r="P498" s="9">
        <f t="shared" si="13"/>
        <v>92.21</v>
      </c>
    </row>
    <row r="499">
      <c r="A499" s="8">
        <v>498.0</v>
      </c>
      <c r="B499" s="15">
        <v>0.005</v>
      </c>
      <c r="C499" s="8">
        <v>0.256</v>
      </c>
      <c r="D499" s="9">
        <f t="shared" si="1"/>
        <v>79.79</v>
      </c>
      <c r="E499" s="16">
        <f t="shared" si="2"/>
        <v>0.96</v>
      </c>
      <c r="F499" s="10">
        <f t="shared" si="3"/>
        <v>1.964748614</v>
      </c>
      <c r="G499" s="11">
        <f t="shared" si="4"/>
        <v>79.13</v>
      </c>
      <c r="H499" s="10">
        <f t="shared" si="5"/>
        <v>135.566</v>
      </c>
      <c r="I499" s="10">
        <f t="shared" si="6"/>
        <v>11.94</v>
      </c>
      <c r="J499" s="12">
        <f t="shared" si="7"/>
        <v>15.089</v>
      </c>
      <c r="K499" s="13">
        <f t="shared" si="8"/>
        <v>0.902</v>
      </c>
      <c r="L499" s="10">
        <f t="shared" si="9"/>
        <v>0.157</v>
      </c>
      <c r="M499" s="10">
        <f t="shared" si="10"/>
        <v>0.01382267102</v>
      </c>
      <c r="N499" s="14">
        <f t="shared" si="11"/>
        <v>1.53</v>
      </c>
      <c r="O499" s="9">
        <f t="shared" si="12"/>
        <v>539</v>
      </c>
      <c r="P499" s="9">
        <f t="shared" si="13"/>
        <v>92.39</v>
      </c>
    </row>
    <row r="500">
      <c r="A500" s="8">
        <v>499.0</v>
      </c>
      <c r="B500" s="15">
        <v>0.013</v>
      </c>
      <c r="C500" s="8">
        <v>0.42</v>
      </c>
      <c r="D500" s="9">
        <f t="shared" si="1"/>
        <v>128.66</v>
      </c>
      <c r="E500" s="16">
        <f t="shared" si="2"/>
        <v>0.93</v>
      </c>
      <c r="F500" s="10">
        <f t="shared" si="3"/>
        <v>1.964738983</v>
      </c>
      <c r="G500" s="11">
        <f t="shared" si="4"/>
        <v>79.23</v>
      </c>
      <c r="H500" s="10">
        <f t="shared" si="5"/>
        <v>135.448</v>
      </c>
      <c r="I500" s="10">
        <f t="shared" si="6"/>
        <v>11.91</v>
      </c>
      <c r="J500" s="12">
        <f t="shared" si="7"/>
        <v>15.032</v>
      </c>
      <c r="K500" s="13">
        <f t="shared" si="8"/>
        <v>0.902</v>
      </c>
      <c r="L500" s="10">
        <f t="shared" si="9"/>
        <v>0.157</v>
      </c>
      <c r="M500" s="10">
        <f t="shared" si="10"/>
        <v>0.01380874602</v>
      </c>
      <c r="N500" s="14">
        <f t="shared" si="11"/>
        <v>1.53</v>
      </c>
      <c r="O500" s="9">
        <f t="shared" si="12"/>
        <v>539</v>
      </c>
      <c r="P500" s="9">
        <f t="shared" si="13"/>
        <v>92.58</v>
      </c>
    </row>
    <row r="501">
      <c r="A501" s="8">
        <v>500.0</v>
      </c>
      <c r="B501" s="15">
        <v>2.164E-4</v>
      </c>
      <c r="C501" s="8">
        <v>0.051</v>
      </c>
      <c r="D501" s="9">
        <f t="shared" si="1"/>
        <v>16.6</v>
      </c>
      <c r="E501" s="16">
        <f t="shared" si="2"/>
        <v>1.05</v>
      </c>
      <c r="F501" s="10">
        <f t="shared" si="3"/>
        <v>1.964729391</v>
      </c>
      <c r="G501" s="11">
        <f t="shared" si="4"/>
        <v>79.11</v>
      </c>
      <c r="H501" s="10">
        <f t="shared" si="5"/>
        <v>135.342</v>
      </c>
      <c r="I501" s="10">
        <f t="shared" si="6"/>
        <v>11.89</v>
      </c>
      <c r="J501" s="12">
        <f t="shared" si="7"/>
        <v>15.03</v>
      </c>
      <c r="K501" s="13">
        <f t="shared" si="8"/>
        <v>0.902</v>
      </c>
      <c r="L501" s="10">
        <f t="shared" si="9"/>
        <v>0.157</v>
      </c>
      <c r="M501" s="10">
        <f t="shared" si="10"/>
        <v>0.01379486301</v>
      </c>
      <c r="N501" s="14">
        <f t="shared" si="11"/>
        <v>1.53</v>
      </c>
      <c r="O501" s="9">
        <f t="shared" si="12"/>
        <v>539</v>
      </c>
      <c r="P501" s="9">
        <f t="shared" si="13"/>
        <v>92.76</v>
      </c>
    </row>
    <row r="502">
      <c r="A502" s="8">
        <v>501.0</v>
      </c>
      <c r="B502" s="15">
        <v>0.004</v>
      </c>
      <c r="C502" s="8">
        <v>0.22</v>
      </c>
      <c r="D502" s="9">
        <f t="shared" si="1"/>
        <v>71.36</v>
      </c>
      <c r="E502" s="16">
        <f t="shared" si="2"/>
        <v>1.04</v>
      </c>
      <c r="F502" s="10">
        <f t="shared" si="3"/>
        <v>1.964719837</v>
      </c>
      <c r="G502" s="11">
        <f t="shared" si="4"/>
        <v>79.09</v>
      </c>
      <c r="H502" s="10">
        <f t="shared" si="5"/>
        <v>135.207</v>
      </c>
      <c r="I502" s="10">
        <f t="shared" si="6"/>
        <v>11.87</v>
      </c>
      <c r="J502" s="12">
        <f t="shared" si="7"/>
        <v>15.008</v>
      </c>
      <c r="K502" s="13">
        <f t="shared" si="8"/>
        <v>0.903</v>
      </c>
      <c r="L502" s="10">
        <f t="shared" si="9"/>
        <v>0.157</v>
      </c>
      <c r="M502" s="10">
        <f t="shared" si="10"/>
        <v>0.0137810218</v>
      </c>
      <c r="N502" s="14">
        <f t="shared" si="11"/>
        <v>1.53</v>
      </c>
      <c r="O502" s="9">
        <f t="shared" si="12"/>
        <v>539</v>
      </c>
      <c r="P502" s="9">
        <f t="shared" si="13"/>
        <v>92.95</v>
      </c>
    </row>
    <row r="503">
      <c r="A503" s="8">
        <v>502.0</v>
      </c>
      <c r="B503" s="15">
        <v>3.947E-4</v>
      </c>
      <c r="C503" s="8">
        <v>0.072</v>
      </c>
      <c r="D503" s="9">
        <f t="shared" si="1"/>
        <v>22.42</v>
      </c>
      <c r="E503" s="16">
        <f t="shared" si="2"/>
        <v>0.96</v>
      </c>
      <c r="F503" s="10">
        <f t="shared" si="3"/>
        <v>1.964710322</v>
      </c>
      <c r="G503" s="11">
        <f t="shared" si="4"/>
        <v>78.98</v>
      </c>
      <c r="H503" s="10">
        <f t="shared" si="5"/>
        <v>135.095</v>
      </c>
      <c r="I503" s="10">
        <f t="shared" si="6"/>
        <v>11.85</v>
      </c>
      <c r="J503" s="12">
        <f t="shared" si="7"/>
        <v>15.004</v>
      </c>
      <c r="K503" s="13">
        <f t="shared" si="8"/>
        <v>0.903</v>
      </c>
      <c r="L503" s="10">
        <f t="shared" si="9"/>
        <v>0.157</v>
      </c>
      <c r="M503" s="10">
        <f t="shared" si="10"/>
        <v>0.01376722216</v>
      </c>
      <c r="N503" s="14">
        <f t="shared" si="11"/>
        <v>1.52</v>
      </c>
      <c r="O503" s="9">
        <f t="shared" si="12"/>
        <v>539</v>
      </c>
      <c r="P503" s="9">
        <f t="shared" si="13"/>
        <v>93.14</v>
      </c>
    </row>
    <row r="504">
      <c r="A504" s="8">
        <v>503.0</v>
      </c>
      <c r="B504" s="15">
        <v>0.006</v>
      </c>
      <c r="C504" s="8">
        <v>0.28</v>
      </c>
      <c r="D504" s="9">
        <f t="shared" si="1"/>
        <v>87.4</v>
      </c>
      <c r="E504" s="16">
        <f t="shared" si="2"/>
        <v>0.96</v>
      </c>
      <c r="F504" s="10">
        <f t="shared" si="3"/>
        <v>1.964700845</v>
      </c>
      <c r="G504" s="11">
        <f t="shared" si="4"/>
        <v>79</v>
      </c>
      <c r="H504" s="10">
        <f t="shared" si="5"/>
        <v>134.961</v>
      </c>
      <c r="I504" s="10">
        <f t="shared" si="6"/>
        <v>11.82</v>
      </c>
      <c r="J504" s="12">
        <f t="shared" si="7"/>
        <v>14.962</v>
      </c>
      <c r="K504" s="13">
        <f t="shared" si="8"/>
        <v>0.903</v>
      </c>
      <c r="L504" s="10">
        <f t="shared" si="9"/>
        <v>0.157</v>
      </c>
      <c r="M504" s="10">
        <f t="shared" si="10"/>
        <v>0.0137534639</v>
      </c>
      <c r="N504" s="14">
        <f t="shared" si="11"/>
        <v>1.52</v>
      </c>
      <c r="O504" s="9">
        <f t="shared" si="12"/>
        <v>539</v>
      </c>
      <c r="P504" s="9">
        <f t="shared" si="13"/>
        <v>93.32</v>
      </c>
    </row>
    <row r="505">
      <c r="A505" s="8">
        <v>504.0</v>
      </c>
      <c r="B505" s="15">
        <v>0.058</v>
      </c>
      <c r="C505" s="8">
        <v>1.501</v>
      </c>
      <c r="D505" s="9">
        <f t="shared" si="1"/>
        <v>271.75</v>
      </c>
      <c r="E505" s="16">
        <f t="shared" si="2"/>
        <v>0.32</v>
      </c>
      <c r="F505" s="10">
        <f t="shared" si="3"/>
        <v>1.964691405</v>
      </c>
      <c r="G505" s="11">
        <f t="shared" si="4"/>
        <v>79.38</v>
      </c>
      <c r="H505" s="10">
        <f t="shared" si="5"/>
        <v>135.1</v>
      </c>
      <c r="I505" s="10">
        <f t="shared" si="6"/>
        <v>11.82</v>
      </c>
      <c r="J505" s="12">
        <f t="shared" si="7"/>
        <v>14.89</v>
      </c>
      <c r="K505" s="13">
        <f t="shared" si="8"/>
        <v>0.902</v>
      </c>
      <c r="L505" s="10">
        <f t="shared" si="9"/>
        <v>0.159</v>
      </c>
      <c r="M505" s="10">
        <f t="shared" si="10"/>
        <v>0.01391477542</v>
      </c>
      <c r="N505" s="14">
        <f t="shared" si="11"/>
        <v>1.54</v>
      </c>
      <c r="O505" s="9">
        <f t="shared" si="12"/>
        <v>539</v>
      </c>
      <c r="P505" s="9">
        <f t="shared" si="13"/>
        <v>93.51</v>
      </c>
    </row>
    <row r="506">
      <c r="A506" s="8">
        <v>505.0</v>
      </c>
      <c r="B506" s="15">
        <v>0.008</v>
      </c>
      <c r="C506" s="8">
        <v>0.355</v>
      </c>
      <c r="D506" s="9">
        <f t="shared" si="1"/>
        <v>100.93</v>
      </c>
      <c r="E506" s="16">
        <f t="shared" si="2"/>
        <v>0.8</v>
      </c>
      <c r="F506" s="10">
        <f t="shared" si="3"/>
        <v>1.964682003</v>
      </c>
      <c r="G506" s="11">
        <f t="shared" si="4"/>
        <v>79.42</v>
      </c>
      <c r="H506" s="10">
        <f t="shared" si="5"/>
        <v>134.969</v>
      </c>
      <c r="I506" s="10">
        <f t="shared" si="6"/>
        <v>11.8</v>
      </c>
      <c r="J506" s="12">
        <f t="shared" si="7"/>
        <v>14.858</v>
      </c>
      <c r="K506" s="13">
        <f t="shared" si="8"/>
        <v>0.902</v>
      </c>
      <c r="L506" s="10">
        <f t="shared" si="9"/>
        <v>0.159</v>
      </c>
      <c r="M506" s="10">
        <f t="shared" si="10"/>
        <v>0.01390092507</v>
      </c>
      <c r="N506" s="14">
        <f t="shared" si="11"/>
        <v>1.54</v>
      </c>
      <c r="O506" s="9">
        <f t="shared" si="12"/>
        <v>539</v>
      </c>
      <c r="P506" s="9">
        <f t="shared" si="13"/>
        <v>93.69</v>
      </c>
    </row>
    <row r="507">
      <c r="A507" s="8">
        <v>506.0</v>
      </c>
      <c r="B507" s="15">
        <v>0.005</v>
      </c>
      <c r="C507" s="8">
        <v>0.254</v>
      </c>
      <c r="D507" s="9">
        <f t="shared" si="1"/>
        <v>79.79</v>
      </c>
      <c r="E507" s="16">
        <f t="shared" si="2"/>
        <v>0.97</v>
      </c>
      <c r="F507" s="10">
        <f t="shared" si="3"/>
        <v>1.964672639</v>
      </c>
      <c r="G507" s="11">
        <f t="shared" si="4"/>
        <v>79.42</v>
      </c>
      <c r="H507" s="10">
        <f t="shared" si="5"/>
        <v>134.836</v>
      </c>
      <c r="I507" s="10">
        <f t="shared" si="6"/>
        <v>11.78</v>
      </c>
      <c r="J507" s="12">
        <f t="shared" si="7"/>
        <v>14.833</v>
      </c>
      <c r="K507" s="13">
        <f t="shared" si="8"/>
        <v>0.902</v>
      </c>
      <c r="L507" s="10">
        <f t="shared" si="9"/>
        <v>0.158</v>
      </c>
      <c r="M507" s="10">
        <f t="shared" si="10"/>
        <v>0.01379977564</v>
      </c>
      <c r="N507" s="14">
        <f t="shared" si="11"/>
        <v>1.53</v>
      </c>
      <c r="O507" s="9">
        <f t="shared" si="12"/>
        <v>539</v>
      </c>
      <c r="P507" s="9">
        <f t="shared" si="13"/>
        <v>93.88</v>
      </c>
    </row>
    <row r="508">
      <c r="A508" s="8">
        <v>507.0</v>
      </c>
      <c r="B508" s="8">
        <v>0.007</v>
      </c>
      <c r="C508" s="8">
        <v>0.306</v>
      </c>
      <c r="D508" s="9">
        <f t="shared" si="1"/>
        <v>94.41</v>
      </c>
      <c r="E508" s="9">
        <f t="shared" si="2"/>
        <v>0.94</v>
      </c>
      <c r="F508" s="10">
        <f t="shared" si="3"/>
        <v>1.964663311</v>
      </c>
      <c r="G508" s="11">
        <f t="shared" si="4"/>
        <v>79.45</v>
      </c>
      <c r="H508" s="10">
        <f t="shared" si="5"/>
        <v>134.704</v>
      </c>
      <c r="I508" s="10">
        <f t="shared" si="6"/>
        <v>11.75</v>
      </c>
      <c r="J508" s="12">
        <f t="shared" si="7"/>
        <v>14.789</v>
      </c>
      <c r="K508" s="13">
        <f t="shared" si="8"/>
        <v>0.902</v>
      </c>
      <c r="L508" s="10">
        <f t="shared" si="9"/>
        <v>0.158</v>
      </c>
      <c r="M508" s="10">
        <f t="shared" si="10"/>
        <v>0.01378609422</v>
      </c>
      <c r="N508" s="14">
        <f t="shared" si="11"/>
        <v>1.53</v>
      </c>
      <c r="O508" s="9">
        <f t="shared" si="12"/>
        <v>539</v>
      </c>
      <c r="P508" s="9">
        <f t="shared" si="13"/>
        <v>94.06</v>
      </c>
    </row>
    <row r="509">
      <c r="A509" s="8">
        <v>508.0</v>
      </c>
      <c r="B509" s="15">
        <v>0.003</v>
      </c>
      <c r="C509" s="8">
        <v>0.196</v>
      </c>
      <c r="D509" s="9">
        <f t="shared" si="1"/>
        <v>61.8</v>
      </c>
      <c r="E509" s="16">
        <f t="shared" si="2"/>
        <v>0.98</v>
      </c>
      <c r="F509" s="10">
        <f t="shared" si="3"/>
        <v>1.964654021</v>
      </c>
      <c r="G509" s="11">
        <f t="shared" si="4"/>
        <v>79.42</v>
      </c>
      <c r="H509" s="10">
        <f t="shared" si="5"/>
        <v>134.573</v>
      </c>
      <c r="I509" s="10">
        <f t="shared" si="6"/>
        <v>11.73</v>
      </c>
      <c r="J509" s="12">
        <f t="shared" si="7"/>
        <v>14.77</v>
      </c>
      <c r="K509" s="13">
        <f t="shared" si="8"/>
        <v>0.902</v>
      </c>
      <c r="L509" s="10">
        <f t="shared" si="9"/>
        <v>0.158</v>
      </c>
      <c r="M509" s="10">
        <f t="shared" si="10"/>
        <v>0.01377245342</v>
      </c>
      <c r="N509" s="14">
        <f t="shared" si="11"/>
        <v>1.53</v>
      </c>
      <c r="O509" s="9">
        <f t="shared" si="12"/>
        <v>539</v>
      </c>
      <c r="P509" s="9">
        <f t="shared" si="13"/>
        <v>94.25</v>
      </c>
    </row>
    <row r="510">
      <c r="A510" s="8">
        <v>509.0</v>
      </c>
      <c r="B510" s="15">
        <v>0.007</v>
      </c>
      <c r="C510" s="8">
        <v>0.303</v>
      </c>
      <c r="D510" s="9">
        <f t="shared" si="1"/>
        <v>94.41</v>
      </c>
      <c r="E510" s="16">
        <f t="shared" si="2"/>
        <v>0.96</v>
      </c>
      <c r="F510" s="10">
        <f t="shared" si="3"/>
        <v>1.964644767</v>
      </c>
      <c r="G510" s="11">
        <f t="shared" si="4"/>
        <v>79.45</v>
      </c>
      <c r="H510" s="10">
        <f t="shared" si="5"/>
        <v>134.443</v>
      </c>
      <c r="I510" s="10">
        <f t="shared" si="6"/>
        <v>11.71</v>
      </c>
      <c r="J510" s="12">
        <f t="shared" si="7"/>
        <v>14.739</v>
      </c>
      <c r="K510" s="13">
        <f t="shared" si="8"/>
        <v>0.902</v>
      </c>
      <c r="L510" s="10">
        <f t="shared" si="9"/>
        <v>0.158</v>
      </c>
      <c r="M510" s="10">
        <f t="shared" si="10"/>
        <v>0.01375885303</v>
      </c>
      <c r="N510" s="14">
        <f t="shared" si="11"/>
        <v>1.53</v>
      </c>
      <c r="O510" s="9">
        <f t="shared" si="12"/>
        <v>539</v>
      </c>
      <c r="P510" s="9">
        <f t="shared" si="13"/>
        <v>94.43</v>
      </c>
    </row>
    <row r="511">
      <c r="A511" s="8">
        <v>510.0</v>
      </c>
      <c r="B511" s="15">
        <v>0.005</v>
      </c>
      <c r="C511" s="8">
        <v>0.259</v>
      </c>
      <c r="D511" s="9">
        <f t="shared" si="1"/>
        <v>79.79</v>
      </c>
      <c r="E511" s="16">
        <f t="shared" si="2"/>
        <v>0.94</v>
      </c>
      <c r="F511" s="10">
        <f t="shared" si="3"/>
        <v>1.964635549</v>
      </c>
      <c r="G511" s="11">
        <f t="shared" si="4"/>
        <v>79.45</v>
      </c>
      <c r="H511" s="10">
        <f t="shared" si="5"/>
        <v>134.31</v>
      </c>
      <c r="I511" s="10">
        <f t="shared" si="6"/>
        <v>11.68</v>
      </c>
      <c r="J511" s="12">
        <f t="shared" si="7"/>
        <v>14.701</v>
      </c>
      <c r="K511" s="13">
        <f t="shared" si="8"/>
        <v>0.902</v>
      </c>
      <c r="L511" s="10">
        <f t="shared" si="9"/>
        <v>0.158</v>
      </c>
      <c r="M511" s="10">
        <f t="shared" si="10"/>
        <v>0.01374529285</v>
      </c>
      <c r="N511" s="14">
        <f t="shared" si="11"/>
        <v>1.52</v>
      </c>
      <c r="O511" s="9">
        <f t="shared" si="12"/>
        <v>539</v>
      </c>
      <c r="P511" s="9">
        <f t="shared" si="13"/>
        <v>94.62</v>
      </c>
    </row>
    <row r="512">
      <c r="A512" s="8">
        <v>511.0</v>
      </c>
      <c r="B512" s="15">
        <v>0.001</v>
      </c>
      <c r="C512" s="8">
        <v>0.13</v>
      </c>
      <c r="D512" s="9">
        <f t="shared" si="1"/>
        <v>35.68</v>
      </c>
      <c r="E512" s="16">
        <f t="shared" si="2"/>
        <v>0.74</v>
      </c>
      <c r="F512" s="10">
        <f t="shared" si="3"/>
        <v>1.964626368</v>
      </c>
      <c r="G512" s="11">
        <f t="shared" si="4"/>
        <v>79.36</v>
      </c>
      <c r="H512" s="10">
        <f t="shared" si="5"/>
        <v>134.193</v>
      </c>
      <c r="I512" s="10">
        <f t="shared" si="6"/>
        <v>11.66</v>
      </c>
      <c r="J512" s="12">
        <f t="shared" si="7"/>
        <v>14.693</v>
      </c>
      <c r="K512" s="13">
        <f t="shared" si="8"/>
        <v>0.902</v>
      </c>
      <c r="L512" s="10">
        <f t="shared" si="9"/>
        <v>0.158</v>
      </c>
      <c r="M512" s="10">
        <f t="shared" si="10"/>
        <v>0.01373177268</v>
      </c>
      <c r="N512" s="14">
        <f t="shared" si="11"/>
        <v>1.52</v>
      </c>
      <c r="O512" s="9">
        <f t="shared" si="12"/>
        <v>539</v>
      </c>
      <c r="P512" s="9">
        <f t="shared" si="13"/>
        <v>94.81</v>
      </c>
    </row>
    <row r="513">
      <c r="A513" s="8">
        <v>512.0</v>
      </c>
      <c r="B513" s="8">
        <v>0.003</v>
      </c>
      <c r="C513" s="8">
        <v>0.206</v>
      </c>
      <c r="D513" s="9">
        <f t="shared" si="1"/>
        <v>61.8</v>
      </c>
      <c r="E513" s="9">
        <f t="shared" si="2"/>
        <v>0.89</v>
      </c>
      <c r="F513" s="10">
        <f t="shared" si="3"/>
        <v>1.964617222</v>
      </c>
      <c r="G513" s="11">
        <f t="shared" si="4"/>
        <v>79.33</v>
      </c>
      <c r="H513" s="10">
        <f t="shared" si="5"/>
        <v>134.064</v>
      </c>
      <c r="I513" s="10">
        <f t="shared" si="6"/>
        <v>11.64</v>
      </c>
      <c r="J513" s="12">
        <f t="shared" si="7"/>
        <v>14.673</v>
      </c>
      <c r="K513" s="13">
        <f t="shared" si="8"/>
        <v>0.902</v>
      </c>
      <c r="L513" s="10">
        <f t="shared" si="9"/>
        <v>0.158</v>
      </c>
      <c r="M513" s="10">
        <f t="shared" si="10"/>
        <v>0.01371829233</v>
      </c>
      <c r="N513" s="14">
        <f t="shared" si="11"/>
        <v>1.52</v>
      </c>
      <c r="O513" s="9">
        <f t="shared" si="12"/>
        <v>539</v>
      </c>
      <c r="P513" s="9">
        <f t="shared" si="13"/>
        <v>94.99</v>
      </c>
    </row>
    <row r="514">
      <c r="A514" s="8">
        <v>513.0</v>
      </c>
      <c r="B514" s="15">
        <v>4.138E-4</v>
      </c>
      <c r="C514" s="8">
        <v>0.072</v>
      </c>
      <c r="D514" s="9">
        <f t="shared" si="1"/>
        <v>22.95</v>
      </c>
      <c r="E514" s="16">
        <f t="shared" si="2"/>
        <v>1</v>
      </c>
      <c r="F514" s="10">
        <f t="shared" si="3"/>
        <v>1.964608113</v>
      </c>
      <c r="G514" s="11">
        <f t="shared" si="4"/>
        <v>79.22</v>
      </c>
      <c r="H514" s="10">
        <f t="shared" si="5"/>
        <v>133.956</v>
      </c>
      <c r="I514" s="10">
        <f t="shared" si="6"/>
        <v>11.62</v>
      </c>
      <c r="J514" s="12">
        <f t="shared" si="7"/>
        <v>14.668</v>
      </c>
      <c r="K514" s="13">
        <f t="shared" si="8"/>
        <v>0.902</v>
      </c>
      <c r="L514" s="10">
        <f t="shared" si="9"/>
        <v>0.158</v>
      </c>
      <c r="M514" s="10">
        <f t="shared" si="10"/>
        <v>0.01370485161</v>
      </c>
      <c r="N514" s="14">
        <f t="shared" si="11"/>
        <v>1.52</v>
      </c>
      <c r="O514" s="9">
        <f t="shared" si="12"/>
        <v>539</v>
      </c>
      <c r="P514" s="9">
        <f t="shared" si="13"/>
        <v>95.18</v>
      </c>
    </row>
    <row r="515">
      <c r="A515" s="8">
        <v>514.0</v>
      </c>
      <c r="B515" s="15">
        <v>0.007</v>
      </c>
      <c r="C515" s="8">
        <v>0.309</v>
      </c>
      <c r="D515" s="9">
        <f t="shared" si="1"/>
        <v>94.41</v>
      </c>
      <c r="E515" s="16">
        <f t="shared" si="2"/>
        <v>0.92</v>
      </c>
      <c r="F515" s="10">
        <f t="shared" si="3"/>
        <v>1.964599039</v>
      </c>
      <c r="G515" s="11">
        <f t="shared" si="4"/>
        <v>79.25</v>
      </c>
      <c r="H515" s="10">
        <f t="shared" si="5"/>
        <v>133.827</v>
      </c>
      <c r="I515" s="10">
        <f t="shared" si="6"/>
        <v>11.6</v>
      </c>
      <c r="J515" s="12">
        <f t="shared" si="7"/>
        <v>14.637</v>
      </c>
      <c r="K515" s="13">
        <f t="shared" si="8"/>
        <v>0.902</v>
      </c>
      <c r="L515" s="10">
        <f t="shared" si="9"/>
        <v>0.157</v>
      </c>
      <c r="M515" s="10">
        <f t="shared" si="10"/>
        <v>0.01360479557</v>
      </c>
      <c r="N515" s="14">
        <f t="shared" si="11"/>
        <v>1.51</v>
      </c>
      <c r="O515" s="9">
        <f t="shared" si="12"/>
        <v>539</v>
      </c>
      <c r="P515" s="9">
        <f t="shared" si="13"/>
        <v>95.36</v>
      </c>
    </row>
    <row r="516">
      <c r="A516" s="8">
        <v>515.0</v>
      </c>
      <c r="B516" s="15">
        <v>0.009</v>
      </c>
      <c r="C516" s="8">
        <v>0.364</v>
      </c>
      <c r="D516" s="9">
        <f t="shared" si="1"/>
        <v>107.05</v>
      </c>
      <c r="E516" s="16">
        <f t="shared" si="2"/>
        <v>0.85</v>
      </c>
      <c r="F516" s="10">
        <f t="shared" si="3"/>
        <v>1.96459</v>
      </c>
      <c r="G516" s="11">
        <f t="shared" si="4"/>
        <v>79.3</v>
      </c>
      <c r="H516" s="10">
        <f t="shared" si="5"/>
        <v>133.702</v>
      </c>
      <c r="I516" s="10">
        <f t="shared" si="6"/>
        <v>11.57</v>
      </c>
      <c r="J516" s="12">
        <f t="shared" si="7"/>
        <v>14.59</v>
      </c>
      <c r="K516" s="13">
        <f t="shared" si="8"/>
        <v>0.902</v>
      </c>
      <c r="L516" s="10">
        <f t="shared" si="9"/>
        <v>0.157</v>
      </c>
      <c r="M516" s="10">
        <f t="shared" si="10"/>
        <v>0.01359151808</v>
      </c>
      <c r="N516" s="14">
        <f t="shared" si="11"/>
        <v>1.51</v>
      </c>
      <c r="O516" s="9">
        <f t="shared" si="12"/>
        <v>539</v>
      </c>
      <c r="P516" s="9">
        <f t="shared" si="13"/>
        <v>95.55</v>
      </c>
    </row>
    <row r="517">
      <c r="A517" s="8">
        <v>516.0</v>
      </c>
      <c r="B517" s="15">
        <v>0.036</v>
      </c>
      <c r="C517" s="8">
        <v>0.797</v>
      </c>
      <c r="D517" s="9">
        <f t="shared" si="1"/>
        <v>214.09</v>
      </c>
      <c r="E517" s="16">
        <f t="shared" si="2"/>
        <v>0.71</v>
      </c>
      <c r="F517" s="10">
        <f t="shared" si="3"/>
        <v>1.964580997</v>
      </c>
      <c r="G517" s="11">
        <f t="shared" si="4"/>
        <v>79.56</v>
      </c>
      <c r="H517" s="10">
        <f t="shared" si="5"/>
        <v>133.704</v>
      </c>
      <c r="I517" s="10">
        <f t="shared" si="6"/>
        <v>11.56</v>
      </c>
      <c r="J517" s="12">
        <f t="shared" si="7"/>
        <v>14.53</v>
      </c>
      <c r="K517" s="13">
        <f t="shared" si="8"/>
        <v>0.902</v>
      </c>
      <c r="L517" s="10">
        <f t="shared" si="9"/>
        <v>0.157</v>
      </c>
      <c r="M517" s="10">
        <f t="shared" si="10"/>
        <v>0.01357827939</v>
      </c>
      <c r="N517" s="14">
        <f t="shared" si="11"/>
        <v>1.51</v>
      </c>
      <c r="O517" s="9">
        <f t="shared" si="12"/>
        <v>539</v>
      </c>
      <c r="P517" s="9">
        <f t="shared" si="13"/>
        <v>95.73</v>
      </c>
    </row>
    <row r="518">
      <c r="A518" s="8">
        <v>517.0</v>
      </c>
      <c r="B518" s="15">
        <v>1.273E-4</v>
      </c>
      <c r="C518" s="8">
        <v>0.039</v>
      </c>
      <c r="D518" s="9">
        <f t="shared" si="1"/>
        <v>12.73</v>
      </c>
      <c r="E518" s="16">
        <f t="shared" si="2"/>
        <v>1.05</v>
      </c>
      <c r="F518" s="10">
        <f t="shared" si="3"/>
        <v>1.964572029</v>
      </c>
      <c r="G518" s="11">
        <f t="shared" si="4"/>
        <v>79.43</v>
      </c>
      <c r="H518" s="10">
        <f t="shared" si="5"/>
        <v>133.607</v>
      </c>
      <c r="I518" s="10">
        <f t="shared" si="6"/>
        <v>11.54</v>
      </c>
      <c r="J518" s="12">
        <f t="shared" si="7"/>
        <v>14.529</v>
      </c>
      <c r="K518" s="13">
        <f t="shared" si="8"/>
        <v>0.902</v>
      </c>
      <c r="L518" s="10">
        <f t="shared" si="9"/>
        <v>0.157</v>
      </c>
      <c r="M518" s="10">
        <f t="shared" si="10"/>
        <v>0.01356507931</v>
      </c>
      <c r="N518" s="14">
        <f t="shared" si="11"/>
        <v>1.5</v>
      </c>
      <c r="O518" s="9">
        <f t="shared" si="12"/>
        <v>539</v>
      </c>
      <c r="P518" s="9">
        <f t="shared" si="13"/>
        <v>95.92</v>
      </c>
    </row>
    <row r="519">
      <c r="A519" s="8">
        <v>518.0</v>
      </c>
      <c r="B519" s="8">
        <v>0.01</v>
      </c>
      <c r="C519" s="8">
        <v>0.367</v>
      </c>
      <c r="D519" s="9">
        <f t="shared" si="1"/>
        <v>112.84</v>
      </c>
      <c r="E519" s="9">
        <f t="shared" si="2"/>
        <v>0.93</v>
      </c>
      <c r="F519" s="10">
        <f t="shared" si="3"/>
        <v>1.964563095</v>
      </c>
      <c r="G519" s="11">
        <f t="shared" si="4"/>
        <v>79.5</v>
      </c>
      <c r="H519" s="10">
        <f t="shared" si="5"/>
        <v>133.486</v>
      </c>
      <c r="I519" s="10">
        <f t="shared" si="6"/>
        <v>11.52</v>
      </c>
      <c r="J519" s="12">
        <f t="shared" si="7"/>
        <v>14.491</v>
      </c>
      <c r="K519" s="13">
        <f t="shared" si="8"/>
        <v>0.902</v>
      </c>
      <c r="L519" s="10">
        <f t="shared" si="9"/>
        <v>0.157</v>
      </c>
      <c r="M519" s="10">
        <f t="shared" si="10"/>
        <v>0.01355191765</v>
      </c>
      <c r="N519" s="14">
        <f t="shared" si="11"/>
        <v>1.5</v>
      </c>
      <c r="O519" s="9">
        <f t="shared" si="12"/>
        <v>539</v>
      </c>
      <c r="P519" s="9">
        <f t="shared" si="13"/>
        <v>96.1</v>
      </c>
    </row>
    <row r="520">
      <c r="A520" s="8">
        <v>519.0</v>
      </c>
      <c r="B520" s="15">
        <v>0.006</v>
      </c>
      <c r="C520" s="8">
        <v>0.284</v>
      </c>
      <c r="D520" s="9">
        <f t="shared" si="1"/>
        <v>87.4</v>
      </c>
      <c r="E520" s="16">
        <f t="shared" si="2"/>
        <v>0.93</v>
      </c>
      <c r="F520" s="10">
        <f t="shared" si="3"/>
        <v>1.964554196</v>
      </c>
      <c r="G520" s="11">
        <f t="shared" si="4"/>
        <v>79.51</v>
      </c>
      <c r="H520" s="10">
        <f t="shared" si="5"/>
        <v>133.357</v>
      </c>
      <c r="I520" s="10">
        <f t="shared" si="6"/>
        <v>11.5</v>
      </c>
      <c r="J520" s="12">
        <f t="shared" si="7"/>
        <v>14.464</v>
      </c>
      <c r="K520" s="13">
        <f t="shared" si="8"/>
        <v>0.902</v>
      </c>
      <c r="L520" s="10">
        <f t="shared" si="9"/>
        <v>0.157</v>
      </c>
      <c r="M520" s="10">
        <f t="shared" si="10"/>
        <v>0.01353879423</v>
      </c>
      <c r="N520" s="14">
        <f t="shared" si="11"/>
        <v>1.5</v>
      </c>
      <c r="O520" s="9">
        <f t="shared" si="12"/>
        <v>539</v>
      </c>
      <c r="P520" s="9">
        <f t="shared" si="13"/>
        <v>96.29</v>
      </c>
    </row>
    <row r="521">
      <c r="A521" s="8">
        <v>520.0</v>
      </c>
      <c r="B521" s="15">
        <v>0.03</v>
      </c>
      <c r="C521" s="8">
        <v>0.678</v>
      </c>
      <c r="D521" s="9">
        <f t="shared" si="1"/>
        <v>195.44</v>
      </c>
      <c r="E521" s="16">
        <f t="shared" si="2"/>
        <v>0.82</v>
      </c>
      <c r="F521" s="10">
        <f t="shared" si="3"/>
        <v>1.964545331</v>
      </c>
      <c r="G521" s="11">
        <f t="shared" si="4"/>
        <v>79.74</v>
      </c>
      <c r="H521" s="10">
        <f t="shared" si="5"/>
        <v>133.325</v>
      </c>
      <c r="I521" s="10">
        <f t="shared" si="6"/>
        <v>11.49</v>
      </c>
      <c r="J521" s="12">
        <f t="shared" si="7"/>
        <v>14.409</v>
      </c>
      <c r="K521" s="13">
        <f t="shared" si="8"/>
        <v>0.902</v>
      </c>
      <c r="L521" s="10">
        <f t="shared" si="9"/>
        <v>0.157</v>
      </c>
      <c r="M521" s="10">
        <f t="shared" si="10"/>
        <v>0.01352570886</v>
      </c>
      <c r="N521" s="14">
        <f t="shared" si="11"/>
        <v>1.5</v>
      </c>
      <c r="O521" s="9">
        <f t="shared" si="12"/>
        <v>539</v>
      </c>
      <c r="P521" s="9">
        <f t="shared" si="13"/>
        <v>96.47</v>
      </c>
    </row>
    <row r="522">
      <c r="A522" s="8">
        <v>521.0</v>
      </c>
      <c r="B522" s="8">
        <v>0.004</v>
      </c>
      <c r="C522" s="8">
        <v>0.228</v>
      </c>
      <c r="D522" s="9">
        <f t="shared" si="1"/>
        <v>71.36</v>
      </c>
      <c r="E522" s="9">
        <f t="shared" si="2"/>
        <v>0.97</v>
      </c>
      <c r="F522" s="10">
        <f t="shared" si="3"/>
        <v>1.964536501</v>
      </c>
      <c r="G522" s="11">
        <f t="shared" si="4"/>
        <v>79.72</v>
      </c>
      <c r="H522" s="10">
        <f t="shared" si="5"/>
        <v>133.198</v>
      </c>
      <c r="I522" s="10">
        <f t="shared" si="6"/>
        <v>11.46</v>
      </c>
      <c r="J522" s="12">
        <f t="shared" si="7"/>
        <v>14.375</v>
      </c>
      <c r="K522" s="13">
        <f t="shared" si="8"/>
        <v>0.902</v>
      </c>
      <c r="L522" s="10">
        <f t="shared" si="9"/>
        <v>0.157</v>
      </c>
      <c r="M522" s="10">
        <f t="shared" si="10"/>
        <v>0.01351266136</v>
      </c>
      <c r="N522" s="14">
        <f t="shared" si="11"/>
        <v>1.5</v>
      </c>
      <c r="O522" s="9">
        <f t="shared" si="12"/>
        <v>539</v>
      </c>
      <c r="P522" s="9">
        <f t="shared" si="13"/>
        <v>96.66</v>
      </c>
    </row>
    <row r="523">
      <c r="A523" s="8">
        <v>522.0</v>
      </c>
      <c r="B523" s="8">
        <v>0.005</v>
      </c>
      <c r="C523" s="8">
        <v>0.264</v>
      </c>
      <c r="D523" s="9">
        <f t="shared" si="1"/>
        <v>79.79</v>
      </c>
      <c r="E523" s="9">
        <f t="shared" si="2"/>
        <v>0.9</v>
      </c>
      <c r="F523" s="10">
        <f t="shared" si="3"/>
        <v>1.964527705</v>
      </c>
      <c r="G523" s="11">
        <f t="shared" si="4"/>
        <v>79.72</v>
      </c>
      <c r="H523" s="10">
        <f t="shared" si="5"/>
        <v>133.07</v>
      </c>
      <c r="I523" s="10">
        <f t="shared" si="6"/>
        <v>11.44</v>
      </c>
      <c r="J523" s="12">
        <f t="shared" si="7"/>
        <v>14.35</v>
      </c>
      <c r="K523" s="13">
        <f t="shared" si="8"/>
        <v>0.902</v>
      </c>
      <c r="L523" s="10">
        <f t="shared" si="9"/>
        <v>0.157</v>
      </c>
      <c r="M523" s="10">
        <f t="shared" si="10"/>
        <v>0.01349965155</v>
      </c>
      <c r="N523" s="14">
        <f t="shared" si="11"/>
        <v>1.5</v>
      </c>
      <c r="O523" s="9">
        <f t="shared" si="12"/>
        <v>539</v>
      </c>
      <c r="P523" s="9">
        <f t="shared" si="13"/>
        <v>96.85</v>
      </c>
    </row>
    <row r="524">
      <c r="A524" s="8">
        <v>523.0</v>
      </c>
      <c r="B524" s="15">
        <v>0.005</v>
      </c>
      <c r="C524" s="8">
        <v>0.278</v>
      </c>
      <c r="D524" s="9">
        <f t="shared" si="1"/>
        <v>79.79</v>
      </c>
      <c r="E524" s="16">
        <f t="shared" si="2"/>
        <v>0.81</v>
      </c>
      <c r="F524" s="10">
        <f t="shared" si="3"/>
        <v>1.964518942</v>
      </c>
      <c r="G524" s="11">
        <f t="shared" si="4"/>
        <v>79.72</v>
      </c>
      <c r="H524" s="10">
        <f t="shared" si="5"/>
        <v>132.942</v>
      </c>
      <c r="I524" s="10">
        <f t="shared" si="6"/>
        <v>11.42</v>
      </c>
      <c r="J524" s="12">
        <f t="shared" si="7"/>
        <v>14.325</v>
      </c>
      <c r="K524" s="13">
        <f t="shared" si="8"/>
        <v>0.902</v>
      </c>
      <c r="L524" s="10">
        <f t="shared" si="9"/>
        <v>0.157</v>
      </c>
      <c r="M524" s="10">
        <f t="shared" si="10"/>
        <v>0.01348667924</v>
      </c>
      <c r="N524" s="14">
        <f t="shared" si="11"/>
        <v>1.5</v>
      </c>
      <c r="O524" s="9">
        <f t="shared" si="12"/>
        <v>539</v>
      </c>
      <c r="P524" s="9">
        <f t="shared" si="13"/>
        <v>97.03</v>
      </c>
    </row>
    <row r="525">
      <c r="A525" s="8">
        <v>524.0</v>
      </c>
      <c r="B525" s="15">
        <v>0.022</v>
      </c>
      <c r="C525" s="8">
        <v>0.586</v>
      </c>
      <c r="D525" s="9">
        <f t="shared" si="1"/>
        <v>167.37</v>
      </c>
      <c r="E525" s="16">
        <f t="shared" si="2"/>
        <v>0.81</v>
      </c>
      <c r="F525" s="10">
        <f t="shared" si="3"/>
        <v>1.964510213</v>
      </c>
      <c r="G525" s="11">
        <f t="shared" si="4"/>
        <v>79.89</v>
      </c>
      <c r="H525" s="10">
        <f t="shared" si="5"/>
        <v>132.87</v>
      </c>
      <c r="I525" s="10">
        <f t="shared" si="6"/>
        <v>11.4</v>
      </c>
      <c r="J525" s="12">
        <f t="shared" si="7"/>
        <v>14.27</v>
      </c>
      <c r="K525" s="13">
        <f t="shared" si="8"/>
        <v>0.902</v>
      </c>
      <c r="L525" s="10">
        <f t="shared" si="9"/>
        <v>0.156</v>
      </c>
      <c r="M525" s="10">
        <f t="shared" si="10"/>
        <v>0.01338792423</v>
      </c>
      <c r="N525" s="14">
        <f t="shared" si="11"/>
        <v>1.48</v>
      </c>
      <c r="O525" s="9">
        <f t="shared" si="12"/>
        <v>539</v>
      </c>
      <c r="P525" s="9">
        <f t="shared" si="13"/>
        <v>97.22</v>
      </c>
    </row>
    <row r="526">
      <c r="A526" s="8">
        <v>525.0</v>
      </c>
      <c r="B526" s="8">
        <v>0.009</v>
      </c>
      <c r="C526" s="8">
        <v>0.423</v>
      </c>
      <c r="D526" s="9">
        <f t="shared" si="1"/>
        <v>107.05</v>
      </c>
      <c r="E526" s="9">
        <f t="shared" si="2"/>
        <v>0.63</v>
      </c>
      <c r="F526" s="10">
        <f t="shared" si="3"/>
        <v>1.964501517</v>
      </c>
      <c r="G526" s="11">
        <f t="shared" si="4"/>
        <v>79.94</v>
      </c>
      <c r="H526" s="10">
        <f t="shared" si="5"/>
        <v>132.749</v>
      </c>
      <c r="I526" s="10">
        <f t="shared" si="6"/>
        <v>11.38</v>
      </c>
      <c r="J526" s="12">
        <f t="shared" si="7"/>
        <v>14.236</v>
      </c>
      <c r="K526" s="13">
        <f t="shared" si="8"/>
        <v>0.901</v>
      </c>
      <c r="L526" s="10">
        <f t="shared" si="9"/>
        <v>0.157</v>
      </c>
      <c r="M526" s="10">
        <f t="shared" si="10"/>
        <v>0.01346084642</v>
      </c>
      <c r="N526" s="14">
        <f t="shared" si="11"/>
        <v>1.49</v>
      </c>
      <c r="O526" s="9">
        <f t="shared" si="12"/>
        <v>539</v>
      </c>
      <c r="P526" s="9">
        <f t="shared" si="13"/>
        <v>97.4</v>
      </c>
    </row>
    <row r="527">
      <c r="A527" s="8">
        <v>526.0</v>
      </c>
      <c r="B527" s="15">
        <v>0.009</v>
      </c>
      <c r="C527" s="8">
        <v>0.356</v>
      </c>
      <c r="D527" s="9">
        <f t="shared" si="1"/>
        <v>107.05</v>
      </c>
      <c r="E527" s="16">
        <f t="shared" si="2"/>
        <v>0.89</v>
      </c>
      <c r="F527" s="10">
        <f t="shared" si="3"/>
        <v>1.964492854</v>
      </c>
      <c r="G527" s="11">
        <f t="shared" si="4"/>
        <v>79.99</v>
      </c>
      <c r="H527" s="10">
        <f t="shared" si="5"/>
        <v>132.628</v>
      </c>
      <c r="I527" s="10">
        <f t="shared" si="6"/>
        <v>11.36</v>
      </c>
      <c r="J527" s="12">
        <f t="shared" si="7"/>
        <v>14.202</v>
      </c>
      <c r="K527" s="13">
        <f t="shared" si="8"/>
        <v>0.901</v>
      </c>
      <c r="L527" s="10">
        <f t="shared" si="9"/>
        <v>0.157</v>
      </c>
      <c r="M527" s="10">
        <f t="shared" si="10"/>
        <v>0.01344798555</v>
      </c>
      <c r="N527" s="14">
        <f t="shared" si="11"/>
        <v>1.49</v>
      </c>
      <c r="O527" s="9">
        <f t="shared" si="12"/>
        <v>539</v>
      </c>
      <c r="P527" s="9">
        <f t="shared" si="13"/>
        <v>97.59</v>
      </c>
    </row>
    <row r="528">
      <c r="A528" s="8">
        <v>527.0</v>
      </c>
      <c r="B528" s="8">
        <v>0.002</v>
      </c>
      <c r="C528" s="8">
        <v>0.151</v>
      </c>
      <c r="D528" s="9">
        <f t="shared" si="1"/>
        <v>50.46</v>
      </c>
      <c r="E528" s="9">
        <f t="shared" si="2"/>
        <v>1.1</v>
      </c>
      <c r="F528" s="10">
        <f t="shared" si="3"/>
        <v>1.964484225</v>
      </c>
      <c r="G528" s="11">
        <f t="shared" si="4"/>
        <v>79.93</v>
      </c>
      <c r="H528" s="10">
        <f t="shared" si="5"/>
        <v>132.508</v>
      </c>
      <c r="I528" s="10">
        <f t="shared" si="6"/>
        <v>11.34</v>
      </c>
      <c r="J528" s="12">
        <f t="shared" si="7"/>
        <v>14.187</v>
      </c>
      <c r="K528" s="13">
        <f t="shared" si="8"/>
        <v>0.901</v>
      </c>
      <c r="L528" s="10">
        <f t="shared" si="9"/>
        <v>0.157</v>
      </c>
      <c r="M528" s="10">
        <f t="shared" si="10"/>
        <v>0.01343516148</v>
      </c>
      <c r="N528" s="14">
        <f t="shared" si="11"/>
        <v>1.49</v>
      </c>
      <c r="O528" s="9">
        <f t="shared" si="12"/>
        <v>539</v>
      </c>
      <c r="P528" s="9">
        <f t="shared" si="13"/>
        <v>97.77</v>
      </c>
    </row>
    <row r="529">
      <c r="A529" s="8">
        <v>528.0</v>
      </c>
      <c r="B529" s="15">
        <v>8.275E-4</v>
      </c>
      <c r="C529" s="8">
        <v>0.105</v>
      </c>
      <c r="D529" s="9">
        <f t="shared" si="1"/>
        <v>32.46</v>
      </c>
      <c r="E529" s="16">
        <f t="shared" si="2"/>
        <v>0.94</v>
      </c>
      <c r="F529" s="10">
        <f t="shared" si="3"/>
        <v>1.964475628</v>
      </c>
      <c r="G529" s="11">
        <f t="shared" si="4"/>
        <v>79.84</v>
      </c>
      <c r="H529" s="10">
        <f t="shared" si="5"/>
        <v>132.398</v>
      </c>
      <c r="I529" s="10">
        <f t="shared" si="6"/>
        <v>11.32</v>
      </c>
      <c r="J529" s="12">
        <f t="shared" si="7"/>
        <v>14.178</v>
      </c>
      <c r="K529" s="13">
        <f t="shared" si="8"/>
        <v>0.902</v>
      </c>
      <c r="L529" s="10">
        <f t="shared" si="9"/>
        <v>0.157</v>
      </c>
      <c r="M529" s="10">
        <f t="shared" si="10"/>
        <v>0.01342237402</v>
      </c>
      <c r="N529" s="14">
        <f t="shared" si="11"/>
        <v>1.49</v>
      </c>
      <c r="O529" s="9">
        <f t="shared" si="12"/>
        <v>539</v>
      </c>
      <c r="P529" s="9">
        <f t="shared" si="13"/>
        <v>97.96</v>
      </c>
    </row>
    <row r="530">
      <c r="A530" s="8">
        <v>529.0</v>
      </c>
      <c r="B530" s="15">
        <v>0.007</v>
      </c>
      <c r="C530" s="8">
        <v>0.39</v>
      </c>
      <c r="D530" s="9">
        <f t="shared" si="1"/>
        <v>94.41</v>
      </c>
      <c r="E530" s="16">
        <f t="shared" si="2"/>
        <v>0.58</v>
      </c>
      <c r="F530" s="10">
        <f t="shared" si="3"/>
        <v>1.964467064</v>
      </c>
      <c r="G530" s="11">
        <f t="shared" si="4"/>
        <v>79.87</v>
      </c>
      <c r="H530" s="10">
        <f t="shared" si="5"/>
        <v>132.274</v>
      </c>
      <c r="I530" s="10">
        <f t="shared" si="6"/>
        <v>11.3</v>
      </c>
      <c r="J530" s="12">
        <f t="shared" si="7"/>
        <v>14.148</v>
      </c>
      <c r="K530" s="13">
        <f t="shared" si="8"/>
        <v>0.901</v>
      </c>
      <c r="L530" s="10">
        <f t="shared" si="9"/>
        <v>0.157</v>
      </c>
      <c r="M530" s="10">
        <f t="shared" si="10"/>
        <v>0.013409623</v>
      </c>
      <c r="N530" s="14">
        <f t="shared" si="11"/>
        <v>1.49</v>
      </c>
      <c r="O530" s="9">
        <f t="shared" si="12"/>
        <v>539</v>
      </c>
      <c r="P530" s="9">
        <f t="shared" si="13"/>
        <v>98.14</v>
      </c>
    </row>
    <row r="531">
      <c r="A531" s="8">
        <v>530.0</v>
      </c>
      <c r="B531" s="8">
        <v>0.006</v>
      </c>
      <c r="C531" s="8">
        <v>0.293</v>
      </c>
      <c r="D531" s="9">
        <f t="shared" si="1"/>
        <v>87.4</v>
      </c>
      <c r="E531" s="9">
        <f t="shared" si="2"/>
        <v>0.88</v>
      </c>
      <c r="F531" s="10">
        <f t="shared" si="3"/>
        <v>1.964458533</v>
      </c>
      <c r="G531" s="11">
        <f t="shared" si="4"/>
        <v>79.89</v>
      </c>
      <c r="H531" s="10">
        <f t="shared" si="5"/>
        <v>132.149</v>
      </c>
      <c r="I531" s="10">
        <f t="shared" si="6"/>
        <v>11.28</v>
      </c>
      <c r="J531" s="12">
        <f t="shared" si="7"/>
        <v>14.119</v>
      </c>
      <c r="K531" s="13">
        <f t="shared" si="8"/>
        <v>0.901</v>
      </c>
      <c r="L531" s="10">
        <f t="shared" si="9"/>
        <v>0.157</v>
      </c>
      <c r="M531" s="10">
        <f t="shared" si="10"/>
        <v>0.01339690826</v>
      </c>
      <c r="N531" s="14">
        <f t="shared" si="11"/>
        <v>1.49</v>
      </c>
      <c r="O531" s="9">
        <f t="shared" si="12"/>
        <v>539</v>
      </c>
      <c r="P531" s="9">
        <f t="shared" si="13"/>
        <v>98.33</v>
      </c>
    </row>
    <row r="532">
      <c r="A532" s="8">
        <v>531.0</v>
      </c>
      <c r="B532" s="15">
        <v>3.183E-4</v>
      </c>
      <c r="C532" s="8">
        <v>0.063</v>
      </c>
      <c r="D532" s="9">
        <f t="shared" si="1"/>
        <v>20.13</v>
      </c>
      <c r="E532" s="16">
        <f t="shared" si="2"/>
        <v>1.01</v>
      </c>
      <c r="F532" s="10">
        <f t="shared" si="3"/>
        <v>1.964450033</v>
      </c>
      <c r="G532" s="11">
        <f t="shared" si="4"/>
        <v>79.77</v>
      </c>
      <c r="H532" s="10">
        <f t="shared" si="5"/>
        <v>132.05</v>
      </c>
      <c r="I532" s="10">
        <f t="shared" si="6"/>
        <v>11.26</v>
      </c>
      <c r="J532" s="12">
        <f t="shared" si="7"/>
        <v>14.116</v>
      </c>
      <c r="K532" s="13">
        <f t="shared" si="8"/>
        <v>0.901</v>
      </c>
      <c r="L532" s="10">
        <f t="shared" si="9"/>
        <v>0.157</v>
      </c>
      <c r="M532" s="10">
        <f t="shared" si="10"/>
        <v>0.01338422962</v>
      </c>
      <c r="N532" s="14">
        <f t="shared" si="11"/>
        <v>1.49</v>
      </c>
      <c r="O532" s="9">
        <f t="shared" si="12"/>
        <v>539</v>
      </c>
      <c r="P532" s="9">
        <f t="shared" si="13"/>
        <v>98.52</v>
      </c>
    </row>
    <row r="533">
      <c r="A533" s="8">
        <v>532.0</v>
      </c>
      <c r="B533" s="8">
        <v>0.001</v>
      </c>
      <c r="C533" s="8">
        <v>0.135</v>
      </c>
      <c r="D533" s="9">
        <f t="shared" si="1"/>
        <v>35.68</v>
      </c>
      <c r="E533" s="9">
        <f t="shared" si="2"/>
        <v>0.69</v>
      </c>
      <c r="F533" s="10">
        <f t="shared" si="3"/>
        <v>1.964441566</v>
      </c>
      <c r="G533" s="11">
        <f t="shared" si="4"/>
        <v>79.69</v>
      </c>
      <c r="H533" s="10">
        <f t="shared" si="5"/>
        <v>131.94</v>
      </c>
      <c r="I533" s="10">
        <f t="shared" si="6"/>
        <v>11.24</v>
      </c>
      <c r="J533" s="12">
        <f t="shared" si="7"/>
        <v>14.105</v>
      </c>
      <c r="K533" s="13">
        <f t="shared" si="8"/>
        <v>0.901</v>
      </c>
      <c r="L533" s="10">
        <f t="shared" si="9"/>
        <v>0.157</v>
      </c>
      <c r="M533" s="10">
        <f t="shared" si="10"/>
        <v>0.0133715869</v>
      </c>
      <c r="N533" s="14">
        <f t="shared" si="11"/>
        <v>1.48</v>
      </c>
      <c r="O533" s="9">
        <f t="shared" si="12"/>
        <v>539</v>
      </c>
      <c r="P533" s="9">
        <f t="shared" si="13"/>
        <v>98.7</v>
      </c>
    </row>
    <row r="534">
      <c r="A534" s="8">
        <v>533.0</v>
      </c>
      <c r="B534" s="15">
        <v>0.004</v>
      </c>
      <c r="C534" s="8">
        <v>0.217</v>
      </c>
      <c r="D534" s="9">
        <f t="shared" si="1"/>
        <v>71.36</v>
      </c>
      <c r="E534" s="16">
        <f t="shared" si="2"/>
        <v>1.07</v>
      </c>
      <c r="F534" s="10">
        <f t="shared" si="3"/>
        <v>1.964433131</v>
      </c>
      <c r="G534" s="11">
        <f t="shared" si="4"/>
        <v>79.67</v>
      </c>
      <c r="H534" s="10">
        <f t="shared" si="5"/>
        <v>131.816</v>
      </c>
      <c r="I534" s="10">
        <f t="shared" si="6"/>
        <v>11.22</v>
      </c>
      <c r="J534" s="12">
        <f t="shared" si="7"/>
        <v>14.083</v>
      </c>
      <c r="K534" s="13">
        <f t="shared" si="8"/>
        <v>0.901</v>
      </c>
      <c r="L534" s="10">
        <f t="shared" si="9"/>
        <v>0.157</v>
      </c>
      <c r="M534" s="10">
        <f t="shared" si="10"/>
        <v>0.01335897995</v>
      </c>
      <c r="N534" s="14">
        <f t="shared" si="11"/>
        <v>1.48</v>
      </c>
      <c r="O534" s="9">
        <f t="shared" si="12"/>
        <v>539</v>
      </c>
      <c r="P534" s="9">
        <f t="shared" si="13"/>
        <v>98.89</v>
      </c>
    </row>
    <row r="535">
      <c r="A535" s="8">
        <v>534.0</v>
      </c>
      <c r="B535" s="15">
        <v>0.004</v>
      </c>
      <c r="C535" s="8">
        <v>0.22</v>
      </c>
      <c r="D535" s="9">
        <f t="shared" si="1"/>
        <v>71.36</v>
      </c>
      <c r="E535" s="16">
        <f t="shared" si="2"/>
        <v>1.04</v>
      </c>
      <c r="F535" s="10">
        <f t="shared" si="3"/>
        <v>1.964424727</v>
      </c>
      <c r="G535" s="11">
        <f t="shared" si="4"/>
        <v>79.66</v>
      </c>
      <c r="H535" s="10">
        <f t="shared" si="5"/>
        <v>131.693</v>
      </c>
      <c r="I535" s="10">
        <f t="shared" si="6"/>
        <v>11.2</v>
      </c>
      <c r="J535" s="12">
        <f t="shared" si="7"/>
        <v>14.06</v>
      </c>
      <c r="K535" s="13">
        <f t="shared" si="8"/>
        <v>0.901</v>
      </c>
      <c r="L535" s="10">
        <f t="shared" si="9"/>
        <v>0.157</v>
      </c>
      <c r="M535" s="10">
        <f t="shared" si="10"/>
        <v>0.01334640858</v>
      </c>
      <c r="N535" s="14">
        <f t="shared" si="11"/>
        <v>1.48</v>
      </c>
      <c r="O535" s="9">
        <f t="shared" si="12"/>
        <v>539</v>
      </c>
      <c r="P535" s="9">
        <f t="shared" si="13"/>
        <v>99.07</v>
      </c>
    </row>
    <row r="536">
      <c r="A536" s="8">
        <v>535.0</v>
      </c>
      <c r="B536" s="15">
        <v>1.91E-5</v>
      </c>
      <c r="C536" s="8">
        <v>0.014</v>
      </c>
      <c r="D536" s="9">
        <f t="shared" si="1"/>
        <v>4.93</v>
      </c>
      <c r="E536" s="16">
        <f t="shared" si="2"/>
        <v>1.22</v>
      </c>
      <c r="F536" s="10">
        <f t="shared" si="3"/>
        <v>1.964416355</v>
      </c>
      <c r="G536" s="11">
        <f t="shared" si="4"/>
        <v>79.52</v>
      </c>
      <c r="H536" s="10">
        <f t="shared" si="5"/>
        <v>131.609</v>
      </c>
      <c r="I536" s="10">
        <f t="shared" si="6"/>
        <v>11.18</v>
      </c>
      <c r="J536" s="12">
        <f t="shared" si="7"/>
        <v>14.059</v>
      </c>
      <c r="K536" s="13">
        <f t="shared" si="8"/>
        <v>0.902</v>
      </c>
      <c r="L536" s="10">
        <f t="shared" si="9"/>
        <v>0.157</v>
      </c>
      <c r="M536" s="10">
        <f t="shared" si="10"/>
        <v>0.01333387264</v>
      </c>
      <c r="N536" s="14">
        <f t="shared" si="11"/>
        <v>1.48</v>
      </c>
      <c r="O536" s="9">
        <f t="shared" si="12"/>
        <v>539</v>
      </c>
      <c r="P536" s="9">
        <f t="shared" si="13"/>
        <v>99.26</v>
      </c>
    </row>
    <row r="537">
      <c r="A537" s="8">
        <v>536.0</v>
      </c>
      <c r="B537" s="15">
        <v>0.001</v>
      </c>
      <c r="C537" s="8">
        <v>0.123</v>
      </c>
      <c r="D537" s="9">
        <f t="shared" si="1"/>
        <v>35.68</v>
      </c>
      <c r="E537" s="16">
        <f t="shared" si="2"/>
        <v>0.83</v>
      </c>
      <c r="F537" s="10">
        <f t="shared" si="3"/>
        <v>1.964408014</v>
      </c>
      <c r="G537" s="11">
        <f t="shared" si="4"/>
        <v>79.44</v>
      </c>
      <c r="H537" s="10">
        <f t="shared" si="5"/>
        <v>131.5</v>
      </c>
      <c r="I537" s="10">
        <f t="shared" si="6"/>
        <v>11.16</v>
      </c>
      <c r="J537" s="12">
        <f t="shared" si="7"/>
        <v>14.048</v>
      </c>
      <c r="K537" s="13">
        <f t="shared" si="8"/>
        <v>0.902</v>
      </c>
      <c r="L537" s="10">
        <f t="shared" si="9"/>
        <v>0.157</v>
      </c>
      <c r="M537" s="10">
        <f t="shared" si="10"/>
        <v>0.01332137196</v>
      </c>
      <c r="N537" s="14">
        <f t="shared" si="11"/>
        <v>1.48</v>
      </c>
      <c r="O537" s="9">
        <f t="shared" si="12"/>
        <v>539</v>
      </c>
      <c r="P537" s="9">
        <f t="shared" si="13"/>
        <v>99.44</v>
      </c>
    </row>
    <row r="538">
      <c r="A538" s="8">
        <v>537.0</v>
      </c>
      <c r="B538" s="15">
        <v>1.91E-5</v>
      </c>
      <c r="C538" s="8">
        <v>0.014</v>
      </c>
      <c r="D538" s="9">
        <f t="shared" si="1"/>
        <v>4.93</v>
      </c>
      <c r="E538" s="16">
        <f t="shared" si="2"/>
        <v>1.22</v>
      </c>
      <c r="F538" s="10">
        <f t="shared" si="3"/>
        <v>1.964399705</v>
      </c>
      <c r="G538" s="11">
        <f t="shared" si="4"/>
        <v>79.3</v>
      </c>
      <c r="H538" s="10">
        <f t="shared" si="5"/>
        <v>131.416</v>
      </c>
      <c r="I538" s="10">
        <f t="shared" si="6"/>
        <v>11.14</v>
      </c>
      <c r="J538" s="12">
        <f t="shared" si="7"/>
        <v>14.048</v>
      </c>
      <c r="K538" s="13">
        <f t="shared" si="8"/>
        <v>0.902</v>
      </c>
      <c r="L538" s="10">
        <f t="shared" si="9"/>
        <v>0.158</v>
      </c>
      <c r="M538" s="10">
        <f t="shared" si="10"/>
        <v>0.01339367647</v>
      </c>
      <c r="N538" s="14">
        <f t="shared" si="11"/>
        <v>1.48</v>
      </c>
      <c r="O538" s="9">
        <f t="shared" si="12"/>
        <v>539</v>
      </c>
      <c r="P538" s="9">
        <f t="shared" si="13"/>
        <v>99.63</v>
      </c>
    </row>
    <row r="539">
      <c r="A539" s="8">
        <v>538.0</v>
      </c>
      <c r="B539" s="15">
        <v>0.202</v>
      </c>
      <c r="C539" s="8">
        <v>2.883</v>
      </c>
      <c r="D539" s="9">
        <f t="shared" si="1"/>
        <v>507.14</v>
      </c>
      <c r="E539" s="16">
        <f t="shared" si="2"/>
        <v>0.31</v>
      </c>
      <c r="F539" s="10">
        <f t="shared" si="3"/>
        <v>1.964391426</v>
      </c>
      <c r="G539" s="11">
        <f t="shared" si="4"/>
        <v>80.09</v>
      </c>
      <c r="H539" s="10">
        <f t="shared" si="5"/>
        <v>132.583</v>
      </c>
      <c r="I539" s="10">
        <f t="shared" si="6"/>
        <v>11.23</v>
      </c>
      <c r="J539" s="12">
        <f t="shared" si="7"/>
        <v>14.022</v>
      </c>
      <c r="K539" s="13">
        <f t="shared" si="8"/>
        <v>0.901</v>
      </c>
      <c r="L539" s="10">
        <f t="shared" si="9"/>
        <v>0.16</v>
      </c>
      <c r="M539" s="10">
        <f t="shared" si="10"/>
        <v>0.01355054849</v>
      </c>
      <c r="N539" s="14">
        <f t="shared" si="11"/>
        <v>1.5</v>
      </c>
      <c r="O539" s="9">
        <f t="shared" si="12"/>
        <v>539</v>
      </c>
      <c r="P539" s="9">
        <f t="shared" si="13"/>
        <v>99.81</v>
      </c>
    </row>
    <row r="540">
      <c r="A540" s="8">
        <v>539.0</v>
      </c>
      <c r="B540" s="15">
        <v>0.005</v>
      </c>
      <c r="C540" s="8">
        <v>0.259</v>
      </c>
      <c r="D540" s="9">
        <f t="shared" si="1"/>
        <v>79.79</v>
      </c>
      <c r="E540" s="16">
        <f t="shared" si="2"/>
        <v>0.94</v>
      </c>
      <c r="F540" s="10">
        <f t="shared" si="3"/>
        <v>1.964383179</v>
      </c>
      <c r="G540" s="11">
        <f t="shared" si="4"/>
        <v>80.09</v>
      </c>
      <c r="H540" s="10">
        <f t="shared" si="5"/>
        <v>132.46</v>
      </c>
      <c r="I540" s="10">
        <f t="shared" si="6"/>
        <v>11.21</v>
      </c>
      <c r="J540" s="12">
        <f t="shared" si="7"/>
        <v>13.997</v>
      </c>
      <c r="K540" s="13">
        <f t="shared" si="8"/>
        <v>0.901</v>
      </c>
      <c r="L540" s="10">
        <f t="shared" si="9"/>
        <v>0.16</v>
      </c>
      <c r="M540" s="10">
        <f t="shared" si="10"/>
        <v>0.01353791574</v>
      </c>
      <c r="N540" s="14">
        <f t="shared" si="11"/>
        <v>1.5</v>
      </c>
      <c r="O540" s="9">
        <f t="shared" si="12"/>
        <v>539</v>
      </c>
      <c r="P540" s="9">
        <f t="shared" si="13"/>
        <v>100</v>
      </c>
    </row>
  </sheetData>
  <drawing r:id="rId1"/>
</worksheet>
</file>